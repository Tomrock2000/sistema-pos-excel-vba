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ducu\Desktop\Sistema_POS\Sistema_POS\"/>
    </mc:Choice>
  </mc:AlternateContent>
  <bookViews>
    <workbookView xWindow="0" yWindow="0" windowWidth="15345" windowHeight="7095"/>
  </bookViews>
  <sheets>
    <sheet name="POS" sheetId="3" r:id="rId1"/>
    <sheet name="Datos de Control" sheetId="1" r:id="rId2"/>
    <sheet name="Registro" sheetId="2" r:id="rId3"/>
    <sheet name="Reportes" sheetId="4" r:id="rId4"/>
    <sheet name="Calculos_BD" sheetId="5" state="hidden" r:id="rId5"/>
  </sheets>
  <definedNames>
    <definedName name="_xlnm.Print_Area" localSheetId="0">POS!$Q$1:$T$20</definedName>
    <definedName name="NativeTimeline_Fecha">#N/A</definedName>
    <definedName name="nombreFacturadores">TablaFacturador[Nombre]</definedName>
    <definedName name="_xlnm.Print_Titles" localSheetId="0">POS!$1:$11</definedName>
  </definedNames>
  <calcPr calcId="162913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" i="5" l="1"/>
  <c r="T11" i="5" l="1"/>
  <c r="T12" i="5" s="1"/>
  <c r="H3" i="1"/>
  <c r="F28" i="3"/>
  <c r="Q8" i="3" s="1"/>
  <c r="G26" i="3"/>
  <c r="Q7" i="3" s="1"/>
  <c r="T17" i="3"/>
  <c r="S15" i="3"/>
  <c r="D15" i="3"/>
  <c r="F14" i="3"/>
  <c r="T12" i="3"/>
  <c r="T14" i="3" s="1"/>
  <c r="D12" i="3"/>
  <c r="S8" i="3"/>
  <c r="S7" i="3"/>
  <c r="T5" i="5"/>
  <c r="T2" i="5"/>
  <c r="Q9" i="3" l="1"/>
  <c r="T15" i="3"/>
  <c r="T16" i="3" s="1"/>
  <c r="T18" i="3" s="1"/>
</calcChain>
</file>

<file path=xl/sharedStrings.xml><?xml version="1.0" encoding="utf-8"?>
<sst xmlns="http://schemas.openxmlformats.org/spreadsheetml/2006/main" count="396" uniqueCount="271">
  <si>
    <t>Nombre</t>
  </si>
  <si>
    <t xml:space="preserve">Descripción </t>
  </si>
  <si>
    <t>Precio</t>
  </si>
  <si>
    <t xml:space="preserve">Ruta </t>
  </si>
  <si>
    <t>555-0001</t>
  </si>
  <si>
    <t>555-0002</t>
  </si>
  <si>
    <t>555-0003</t>
  </si>
  <si>
    <t>555-0004</t>
  </si>
  <si>
    <t>555-0005</t>
  </si>
  <si>
    <t>555-0006</t>
  </si>
  <si>
    <t>555-0007</t>
  </si>
  <si>
    <t>555-0008</t>
  </si>
  <si>
    <t>555-0009</t>
  </si>
  <si>
    <t>555-0010</t>
  </si>
  <si>
    <t>555-0011</t>
  </si>
  <si>
    <t>555-0012</t>
  </si>
  <si>
    <t>555-0013</t>
  </si>
  <si>
    <t>555-0014</t>
  </si>
  <si>
    <t>555-0015</t>
  </si>
  <si>
    <t>555-0016</t>
  </si>
  <si>
    <t>555-0017</t>
  </si>
  <si>
    <t>555-0018</t>
  </si>
  <si>
    <t>555-0019</t>
  </si>
  <si>
    <t>555-0020</t>
  </si>
  <si>
    <t>555-0021</t>
  </si>
  <si>
    <t>555-0022</t>
  </si>
  <si>
    <t>555-0023</t>
  </si>
  <si>
    <t>555-0024</t>
  </si>
  <si>
    <t>555-0025</t>
  </si>
  <si>
    <t>555-0026</t>
  </si>
  <si>
    <t>555-0027</t>
  </si>
  <si>
    <t>555-0028</t>
  </si>
  <si>
    <t>555-0029</t>
  </si>
  <si>
    <t>555-0030</t>
  </si>
  <si>
    <t>555-0031</t>
  </si>
  <si>
    <t>555-0032</t>
  </si>
  <si>
    <t>555-0033</t>
  </si>
  <si>
    <t>555-0034</t>
  </si>
  <si>
    <t>555-0035</t>
  </si>
  <si>
    <t>555-0036</t>
  </si>
  <si>
    <t>555-0037</t>
  </si>
  <si>
    <t>555-0038</t>
  </si>
  <si>
    <t>555-0039</t>
  </si>
  <si>
    <t>555-0040</t>
  </si>
  <si>
    <t>555-0041</t>
  </si>
  <si>
    <t>555-0042</t>
  </si>
  <si>
    <t>555-0043</t>
  </si>
  <si>
    <t>555-0044</t>
  </si>
  <si>
    <t>555-0045</t>
  </si>
  <si>
    <t>555-0046</t>
  </si>
  <si>
    <t>555-0047</t>
  </si>
  <si>
    <t>555-0048</t>
  </si>
  <si>
    <t>555-0049</t>
  </si>
  <si>
    <t>555-0050</t>
  </si>
  <si>
    <t>555-0051</t>
  </si>
  <si>
    <t>555-0052</t>
  </si>
  <si>
    <t>555-0055</t>
  </si>
  <si>
    <t>555-0056</t>
  </si>
  <si>
    <t>555-0057</t>
  </si>
  <si>
    <t>555-0065</t>
  </si>
  <si>
    <t>555-0066</t>
  </si>
  <si>
    <t>555-0067</t>
  </si>
  <si>
    <t>555-0068</t>
  </si>
  <si>
    <t>555-0069</t>
  </si>
  <si>
    <t>555-0070</t>
  </si>
  <si>
    <t>555-0071</t>
  </si>
  <si>
    <t>555-0072</t>
  </si>
  <si>
    <t>555-0073</t>
  </si>
  <si>
    <t>555-0074</t>
  </si>
  <si>
    <t>555-0075</t>
  </si>
  <si>
    <t>555-0076</t>
  </si>
  <si>
    <t>555-0077</t>
  </si>
  <si>
    <t>555-0078</t>
  </si>
  <si>
    <t>555-0079</t>
  </si>
  <si>
    <t>555-0080</t>
  </si>
  <si>
    <t>555-0081</t>
  </si>
  <si>
    <t>555-0082</t>
  </si>
  <si>
    <t>555-0083</t>
  </si>
  <si>
    <t>555-0084</t>
  </si>
  <si>
    <t>555-0085</t>
  </si>
  <si>
    <t>555-0053</t>
  </si>
  <si>
    <t>555-0054</t>
  </si>
  <si>
    <t>555-0086</t>
  </si>
  <si>
    <t>555-0087</t>
  </si>
  <si>
    <t>555-0088</t>
  </si>
  <si>
    <t>555-0089</t>
  </si>
  <si>
    <t>555-0090</t>
  </si>
  <si>
    <t>PIZZA MARGARITA MED</t>
  </si>
  <si>
    <t>PIZZA MARGARITA GRD</t>
  </si>
  <si>
    <t>PIZZA DE MAIZ MED</t>
  </si>
  <si>
    <t>PIZZA DE MAIZ GRD</t>
  </si>
  <si>
    <t>PIZZA DE JAMON MED</t>
  </si>
  <si>
    <t>PIZZA DE JAMON GRD</t>
  </si>
  <si>
    <t>PIZZA DE PIMENTON MED</t>
  </si>
  <si>
    <t>PIZZA DE PIMENTON GRD</t>
  </si>
  <si>
    <t>PIZZA DE CHAMPIÑON MED</t>
  </si>
  <si>
    <t>PIZZA DE CHAMPIÑON GRD</t>
  </si>
  <si>
    <t>PIZZA PRIMAVERA MED</t>
  </si>
  <si>
    <t>PIZZA PRIMAVERA GRD</t>
  </si>
  <si>
    <t>PIZZA JARDINERA MED</t>
  </si>
  <si>
    <t>PIZZA JARDINERA GRD</t>
  </si>
  <si>
    <t>PIZZA DE TOCINETA MED</t>
  </si>
  <si>
    <t>PIZZA DE TOCINETA GRD</t>
  </si>
  <si>
    <t>PIZZA HAWAIANA MED</t>
  </si>
  <si>
    <t>PIZZA HAWAIANA GRD</t>
  </si>
  <si>
    <t>PIZZA VEGETARIANA MED</t>
  </si>
  <si>
    <t>PIZZA VEGETARIANA GRD</t>
  </si>
  <si>
    <t>PIZZA DE POLLO MED</t>
  </si>
  <si>
    <t xml:space="preserve">PILLA DE POLLO GRD </t>
  </si>
  <si>
    <t>PIZZA CAPRICHOSA MED</t>
  </si>
  <si>
    <t>PIZZA CAPRICHOSA GRD</t>
  </si>
  <si>
    <t>PIZZA 4 ESTACIONES MED</t>
  </si>
  <si>
    <t>PIZZA 4 ESTACIONES GRD</t>
  </si>
  <si>
    <t xml:space="preserve">CAPRESA MED </t>
  </si>
  <si>
    <t>CAPRESA GRD</t>
  </si>
  <si>
    <t xml:space="preserve">CALZONE MED </t>
  </si>
  <si>
    <t>POLLO A LA BROSTER INDIVIDUAL</t>
  </si>
  <si>
    <t>POLLO A LA BROSTER DOBLE</t>
  </si>
  <si>
    <t xml:space="preserve">POLLO A LA BROSTER MEDIANA </t>
  </si>
  <si>
    <t xml:space="preserve">POLLO A LA BROSTER FAMILIAR </t>
  </si>
  <si>
    <t xml:space="preserve">350GR DE PROTEÍNA </t>
  </si>
  <si>
    <t xml:space="preserve">500GR DE PROTEÍNA </t>
  </si>
  <si>
    <t xml:space="preserve">1KG DE PROTEÍNA </t>
  </si>
  <si>
    <t xml:space="preserve">TRUCHA A LA PARRILLA </t>
  </si>
  <si>
    <t xml:space="preserve">LOMITO AHUMADO </t>
  </si>
  <si>
    <t xml:space="preserve">EMPANADA CARNE MOLIDA </t>
  </si>
  <si>
    <t xml:space="preserve">EMPANADA CARNE MECHADA </t>
  </si>
  <si>
    <t xml:space="preserve">EMPANADA POLLO </t>
  </si>
  <si>
    <t>EMPANADA QUESO Y TOCINETA</t>
  </si>
  <si>
    <t xml:space="preserve">EMPANADA CARAOTA Y QUESO </t>
  </si>
  <si>
    <t>EMPANADA TRUCHA Y MOZZARELA</t>
  </si>
  <si>
    <t xml:space="preserve">EMPANADA PERNIL CON QUESO </t>
  </si>
  <si>
    <t xml:space="preserve">EMPANADA CHORIZO CON ALBAHACA </t>
  </si>
  <si>
    <t xml:space="preserve">DESAYUNO CRIOLLO </t>
  </si>
  <si>
    <t xml:space="preserve">QUESO A LA PLANCHA </t>
  </si>
  <si>
    <t xml:space="preserve">AREPITAS CON NATA </t>
  </si>
  <si>
    <t xml:space="preserve">TEQUEÑOS TRADICIONALES </t>
  </si>
  <si>
    <t xml:space="preserve">SOPA CON AREPA </t>
  </si>
  <si>
    <t xml:space="preserve">SOPA CON AREPA Y NATA </t>
  </si>
  <si>
    <t>ENSALADA CESAR CLASICA</t>
  </si>
  <si>
    <t xml:space="preserve">AGUACATE Y PALMITO </t>
  </si>
  <si>
    <t xml:space="preserve">BROWNIE CON HELADO </t>
  </si>
  <si>
    <t xml:space="preserve">TORTA 3 LECHES </t>
  </si>
  <si>
    <t xml:space="preserve">QUESILLO </t>
  </si>
  <si>
    <t xml:space="preserve">MARQUESA </t>
  </si>
  <si>
    <t>HELADO DE FRESA</t>
  </si>
  <si>
    <t xml:space="preserve">JUGOS NATURALES </t>
  </si>
  <si>
    <t>REFRESCO DE BOTELLA</t>
  </si>
  <si>
    <t>REFRESCO DE LATA</t>
  </si>
  <si>
    <t xml:space="preserve">REFRESCO DE 1 LITRO </t>
  </si>
  <si>
    <t xml:space="preserve">AGUA 330 </t>
  </si>
  <si>
    <t>AGUA 600</t>
  </si>
  <si>
    <t xml:space="preserve">CERVEZA NACIONAL </t>
  </si>
  <si>
    <t xml:space="preserve">CERVEZA IMPORTADA </t>
  </si>
  <si>
    <t xml:space="preserve">COCTELES DE LA NOCHE </t>
  </si>
  <si>
    <t xml:space="preserve">ENVASE PARA LLEVAR </t>
  </si>
  <si>
    <t xml:space="preserve">CAJA PARA PIZZA </t>
  </si>
  <si>
    <t xml:space="preserve"> </t>
  </si>
  <si>
    <t>Facturas Registradas</t>
  </si>
  <si>
    <t>Lista de Productos</t>
  </si>
  <si>
    <t>Facturador</t>
  </si>
  <si>
    <t xml:space="preserve">Frank </t>
  </si>
  <si>
    <t>Descripción del Producto</t>
  </si>
  <si>
    <t>Cantidad:</t>
  </si>
  <si>
    <t>Precio:</t>
  </si>
  <si>
    <t>Producto:</t>
  </si>
  <si>
    <t>Descripción:</t>
  </si>
  <si>
    <t>Controles</t>
  </si>
  <si>
    <t xml:space="preserve">IVA: </t>
  </si>
  <si>
    <t xml:space="preserve">Medio de pago: </t>
  </si>
  <si>
    <t xml:space="preserve">Se Recibe del Cliente: </t>
  </si>
  <si>
    <t>Siguiente factura:</t>
  </si>
  <si>
    <t>Fecha Hora</t>
  </si>
  <si>
    <t>Facturador:</t>
  </si>
  <si>
    <t>Producto</t>
  </si>
  <si>
    <t>Cant</t>
  </si>
  <si>
    <t>Total</t>
  </si>
  <si>
    <t>Subtotal:</t>
  </si>
  <si>
    <t>Total:</t>
  </si>
  <si>
    <t xml:space="preserve">Recibido: </t>
  </si>
  <si>
    <t>Cambio:</t>
  </si>
  <si>
    <t>¡Gracias por su compra!</t>
  </si>
  <si>
    <t>Cod.</t>
  </si>
  <si>
    <t>Id</t>
  </si>
  <si>
    <t>Código</t>
  </si>
  <si>
    <t>Código Producto:</t>
  </si>
  <si>
    <t>RIF:J-111111111</t>
  </si>
  <si>
    <t xml:space="preserve">    PUNTO DE VENTA</t>
  </si>
  <si>
    <t>DESACTIVADO</t>
  </si>
  <si>
    <t>Factura</t>
  </si>
  <si>
    <t>Tipo de Pago</t>
  </si>
  <si>
    <t>Fecha</t>
  </si>
  <si>
    <t>Cod. Producto</t>
  </si>
  <si>
    <t>Cantidad</t>
  </si>
  <si>
    <t>IVA</t>
  </si>
  <si>
    <t>Recibido</t>
  </si>
  <si>
    <t>Cambio</t>
  </si>
  <si>
    <t>Subtotal</t>
  </si>
  <si>
    <t>Etiquetas de fila</t>
  </si>
  <si>
    <t>Total general</t>
  </si>
  <si>
    <t>Suma de Subtotal</t>
  </si>
  <si>
    <t>Suma de Cantidad</t>
  </si>
  <si>
    <t>Monto IVA</t>
  </si>
  <si>
    <t>Suma de Monto IVA</t>
  </si>
  <si>
    <t>Ticket Promedio</t>
  </si>
  <si>
    <t xml:space="preserve">    REPORTE DE VENTAS</t>
  </si>
  <si>
    <t>Producto Estrella</t>
  </si>
  <si>
    <t>Ingresos Netos</t>
  </si>
  <si>
    <t>pizza_margarita_med.jpg</t>
  </si>
  <si>
    <t>pizza_primavera_med.jpg</t>
  </si>
  <si>
    <t>pizza_jardinera_med.jpg</t>
  </si>
  <si>
    <t>pizza_hawaiana_med.jpg</t>
  </si>
  <si>
    <t>pizza_vegetariana_med.jpg</t>
  </si>
  <si>
    <t>pizza_maiz_med.jpg</t>
  </si>
  <si>
    <t>pizza_jamon_med.jpg</t>
  </si>
  <si>
    <t>pizza_pimenton_med.jpg</t>
  </si>
  <si>
    <t>pizza_champiñon_med.jpg</t>
  </si>
  <si>
    <t>pizza_tocineta_med.jpg</t>
  </si>
  <si>
    <t>pizza_pollo_med.jpg</t>
  </si>
  <si>
    <t>pizza_caprichosa_med.jpg</t>
  </si>
  <si>
    <t>pizza_4estaciones_med.jpg</t>
  </si>
  <si>
    <t>Efectivo</t>
  </si>
  <si>
    <t>ene</t>
  </si>
  <si>
    <t>FAC0000</t>
  </si>
  <si>
    <t>SISTEMA</t>
  </si>
  <si>
    <t>INICIO DE SISTEMA</t>
  </si>
  <si>
    <t>1-ene</t>
  </si>
  <si>
    <t>capresa_med.jpg</t>
  </si>
  <si>
    <t>calzone_med.jpg</t>
  </si>
  <si>
    <t>pollo_broaster_indiv.jpg</t>
  </si>
  <si>
    <t>proteina_350.jpg</t>
  </si>
  <si>
    <t>trucha_parrilla.jpg</t>
  </si>
  <si>
    <t>lomito_ahumado.jpg</t>
  </si>
  <si>
    <t>empanada_carne_molida.jpg</t>
  </si>
  <si>
    <t>empanada_carne_mechada.jpg</t>
  </si>
  <si>
    <t>empanada_pollo.jpg</t>
  </si>
  <si>
    <t>empanada_tocineta_queso.jpg</t>
  </si>
  <si>
    <t>empanada_queso_caraota.jpg</t>
  </si>
  <si>
    <t>desayuno_criollo.jpg</t>
  </si>
  <si>
    <t>ensalada_cesar.jpg</t>
  </si>
  <si>
    <t>empanada_trucha_mozzarella.jpg</t>
  </si>
  <si>
    <t>empanada_pernil_queso.jpg</t>
  </si>
  <si>
    <t>empanada_chorizo_albahaca.jpg</t>
  </si>
  <si>
    <t>queso_plancha.jpg</t>
  </si>
  <si>
    <t>arepa_nata.jpg</t>
  </si>
  <si>
    <t>tequeño.jpg</t>
  </si>
  <si>
    <t>sopa_arepa.jpg</t>
  </si>
  <si>
    <t>aguacate_palmito.jpg</t>
  </si>
  <si>
    <t>brownie_helado.jpg</t>
  </si>
  <si>
    <t>torta_3leches.jpg</t>
  </si>
  <si>
    <t>quesillo.jpg</t>
  </si>
  <si>
    <t>marquesa.jpg</t>
  </si>
  <si>
    <t>helado_fresa.jpg</t>
  </si>
  <si>
    <t>jugos_naturales.jpg</t>
  </si>
  <si>
    <t>refresco_botella.jpg</t>
  </si>
  <si>
    <t>refresco_lata.jpg</t>
  </si>
  <si>
    <t>agua_330.jpg</t>
  </si>
  <si>
    <t>cerveza_nacional.jpg</t>
  </si>
  <si>
    <t>cerveza_importada.jpg</t>
  </si>
  <si>
    <t>cocteles.jpg</t>
  </si>
  <si>
    <t>envase.jpg</t>
  </si>
  <si>
    <t>caja_pizza.jpg</t>
  </si>
  <si>
    <t>IVA Recaudado</t>
  </si>
  <si>
    <t>EMPRESA</t>
  </si>
  <si>
    <t>Av. Siempre Viva</t>
  </si>
  <si>
    <t>Lugar del mundo</t>
  </si>
  <si>
    <t>Tel:0414-77777777</t>
  </si>
  <si>
    <t>ENSALADA CESAR MIX</t>
  </si>
  <si>
    <t>PIZZA CASA GRD</t>
  </si>
  <si>
    <t>PIZZA CASA MED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</si>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</sst>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&quot;Bs.S&quot;* #,##0.00_ ;_ &quot;Bs.S&quot;* \-#,##0.00_ ;_ &quot;Bs.S&quot;* &quot;-&quot;??_ ;_ @_ "/>
    <numFmt numFmtId="165" formatCode="#,##0.0"/>
    <numFmt numFmtId="166" formatCode="[$$-409]#,##0.0"/>
    <numFmt numFmtId="167" formatCode="[$$-540A]#,##0.0"/>
    <numFmt numFmtId="168" formatCode="[$$-409]#,##0.0_ ;\-[$$-409]#,##0.0\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2"/>
      <color theme="0"/>
      <name val="Times New Roman"/>
      <family val="1"/>
    </font>
    <font>
      <sz val="6"/>
      <color theme="1"/>
      <name val="Consolas"/>
      <family val="3"/>
    </font>
    <font>
      <b/>
      <sz val="10"/>
      <color theme="1"/>
      <name val="Consolas"/>
      <family val="3"/>
    </font>
    <font>
      <b/>
      <sz val="10"/>
      <color theme="0"/>
      <name val="Consolas"/>
      <family val="3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6"/>
      <color theme="1"/>
      <name val="Consolas"/>
      <family val="3"/>
    </font>
    <font>
      <sz val="8"/>
      <color theme="1"/>
      <name val="Consolas"/>
      <family val="3"/>
    </font>
    <font>
      <b/>
      <sz val="6"/>
      <name val="Consolas"/>
      <family val="3"/>
    </font>
    <font>
      <sz val="22"/>
      <color theme="1"/>
      <name val="Libre Barcode 39"/>
    </font>
    <font>
      <sz val="8"/>
      <color theme="1"/>
      <name val="Times New Roman"/>
      <family val="1"/>
    </font>
    <font>
      <sz val="11"/>
      <color theme="1"/>
      <name val="Times New Roman"/>
    </font>
    <font>
      <b/>
      <sz val="10.5"/>
      <color theme="1"/>
      <name val="Times New Roman"/>
      <family val="1"/>
    </font>
    <font>
      <sz val="10.5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6">
    <xf numFmtId="0" fontId="0" fillId="0" borderId="0" xfId="0"/>
    <xf numFmtId="0" fontId="4" fillId="0" borderId="0" xfId="0" applyFont="1"/>
    <xf numFmtId="0" fontId="5" fillId="0" borderId="0" xfId="0" applyFont="1"/>
    <xf numFmtId="0" fontId="5" fillId="3" borderId="0" xfId="0" applyFont="1" applyFill="1"/>
    <xf numFmtId="0" fontId="6" fillId="2" borderId="0" xfId="0" applyFont="1" applyFill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0" fillId="0" borderId="0" xfId="0" applyFont="1" applyAlignment="1"/>
    <xf numFmtId="0" fontId="8" fillId="3" borderId="0" xfId="0" applyFont="1" applyFill="1" applyBorder="1"/>
    <xf numFmtId="166" fontId="8" fillId="3" borderId="0" xfId="0" applyNumberFormat="1" applyFont="1" applyFill="1" applyBorder="1"/>
    <xf numFmtId="0" fontId="7" fillId="0" borderId="3" xfId="0" applyFont="1" applyBorder="1"/>
    <xf numFmtId="166" fontId="7" fillId="0" borderId="3" xfId="0" applyNumberFormat="1" applyFont="1" applyBorder="1"/>
    <xf numFmtId="0" fontId="14" fillId="0" borderId="3" xfId="0" applyFont="1" applyBorder="1"/>
    <xf numFmtId="166" fontId="7" fillId="0" borderId="0" xfId="0" applyNumberFormat="1" applyFont="1"/>
    <xf numFmtId="0" fontId="14" fillId="0" borderId="0" xfId="0" applyFont="1"/>
    <xf numFmtId="0" fontId="9" fillId="2" borderId="0" xfId="0" applyFont="1" applyFill="1"/>
    <xf numFmtId="0" fontId="8" fillId="3" borderId="6" xfId="0" applyFont="1" applyFill="1" applyBorder="1"/>
    <xf numFmtId="19" fontId="7" fillId="0" borderId="0" xfId="0" applyNumberFormat="1" applyFont="1"/>
    <xf numFmtId="0" fontId="4" fillId="0" borderId="0" xfId="0" applyFont="1" applyProtection="1"/>
    <xf numFmtId="0" fontId="11" fillId="0" borderId="0" xfId="0" applyFont="1" applyAlignment="1" applyProtection="1"/>
    <xf numFmtId="0" fontId="10" fillId="0" borderId="11" xfId="0" applyFont="1" applyBorder="1" applyAlignment="1" applyProtection="1"/>
    <xf numFmtId="14" fontId="10" fillId="0" borderId="11" xfId="0" applyNumberFormat="1" applyFont="1" applyBorder="1" applyAlignment="1" applyProtection="1">
      <alignment horizontal="center"/>
    </xf>
    <xf numFmtId="0" fontId="10" fillId="0" borderId="11" xfId="0" applyFont="1" applyBorder="1" applyAlignment="1" applyProtection="1">
      <alignment horizontal="right"/>
    </xf>
    <xf numFmtId="0" fontId="12" fillId="0" borderId="0" xfId="0" applyFont="1" applyFill="1" applyAlignment="1" applyProtection="1"/>
    <xf numFmtId="165" fontId="12" fillId="0" borderId="0" xfId="0" applyNumberFormat="1" applyFont="1" applyFill="1" applyAlignment="1" applyProtection="1">
      <alignment horizontal="center"/>
    </xf>
    <xf numFmtId="166" fontId="12" fillId="0" borderId="0" xfId="0" applyNumberFormat="1" applyFont="1" applyFill="1" applyAlignment="1" applyProtection="1">
      <alignment horizontal="right"/>
    </xf>
    <xf numFmtId="167" fontId="12" fillId="0" borderId="0" xfId="0" applyNumberFormat="1" applyFont="1" applyFill="1" applyAlignment="1" applyProtection="1">
      <alignment horizontal="right"/>
    </xf>
    <xf numFmtId="0" fontId="10" fillId="0" borderId="0" xfId="0" applyFont="1" applyAlignment="1" applyProtection="1"/>
    <xf numFmtId="167" fontId="10" fillId="0" borderId="0" xfId="0" applyNumberFormat="1" applyFont="1" applyAlignment="1" applyProtection="1"/>
    <xf numFmtId="167" fontId="10" fillId="0" borderId="11" xfId="0" applyNumberFormat="1" applyFont="1" applyBorder="1" applyAlignment="1" applyProtection="1"/>
    <xf numFmtId="0" fontId="10" fillId="0" borderId="0" xfId="0" applyFont="1" applyAlignment="1" applyProtection="1">
      <alignment horizontal="right"/>
    </xf>
    <xf numFmtId="0" fontId="15" fillId="0" borderId="0" xfId="0" applyFont="1"/>
    <xf numFmtId="0" fontId="0" fillId="0" borderId="0" xfId="0" applyBorder="1"/>
    <xf numFmtId="0" fontId="7" fillId="0" borderId="0" xfId="0" applyFont="1" applyBorder="1"/>
    <xf numFmtId="0" fontId="8" fillId="0" borderId="0" xfId="0" applyFont="1" applyBorder="1"/>
    <xf numFmtId="0" fontId="16" fillId="0" borderId="0" xfId="0" applyFont="1"/>
    <xf numFmtId="9" fontId="7" fillId="0" borderId="1" xfId="0" applyNumberFormat="1" applyFont="1" applyBorder="1" applyAlignment="1" applyProtection="1">
      <alignment horizontal="center" vertical="center"/>
      <protection locked="0"/>
    </xf>
    <xf numFmtId="22" fontId="7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  <xf numFmtId="0" fontId="8" fillId="0" borderId="0" xfId="0" applyFont="1" applyAlignment="1">
      <alignment horizontal="left"/>
    </xf>
    <xf numFmtId="22" fontId="15" fillId="0" borderId="0" xfId="0" applyNumberFormat="1" applyFont="1"/>
    <xf numFmtId="0" fontId="7" fillId="0" borderId="0" xfId="0" applyFont="1" applyAlignment="1">
      <alignment horizontal="left"/>
    </xf>
    <xf numFmtId="0" fontId="18" fillId="0" borderId="0" xfId="0" applyFont="1"/>
    <xf numFmtId="167" fontId="18" fillId="0" borderId="0" xfId="0" applyNumberFormat="1" applyFont="1"/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  <xf numFmtId="0" fontId="19" fillId="0" borderId="0" xfId="0" applyFont="1" applyAlignment="1"/>
    <xf numFmtId="0" fontId="8" fillId="4" borderId="6" xfId="0" applyFont="1" applyFill="1" applyBorder="1"/>
    <xf numFmtId="0" fontId="8" fillId="0" borderId="6" xfId="0" applyFont="1" applyBorder="1" applyAlignment="1">
      <alignment horizontal="center"/>
    </xf>
    <xf numFmtId="0" fontId="10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 vertical="center"/>
    </xf>
    <xf numFmtId="0" fontId="13" fillId="0" borderId="0" xfId="0" applyFont="1" applyAlignment="1" applyProtection="1">
      <alignment horizontal="center"/>
    </xf>
    <xf numFmtId="22" fontId="7" fillId="4" borderId="8" xfId="0" applyNumberFormat="1" applyFont="1" applyFill="1" applyBorder="1" applyAlignment="1">
      <alignment horizontal="center" vertical="center"/>
    </xf>
    <xf numFmtId="22" fontId="7" fillId="4" borderId="10" xfId="0" applyNumberFormat="1" applyFont="1" applyFill="1" applyBorder="1" applyAlignment="1">
      <alignment horizontal="center" vertical="center"/>
    </xf>
    <xf numFmtId="22" fontId="7" fillId="4" borderId="9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9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7" fillId="0" borderId="8" xfId="0" applyNumberFormat="1" applyFont="1" applyBorder="1" applyAlignment="1" applyProtection="1">
      <alignment horizontal="center" vertical="center"/>
      <protection locked="0"/>
    </xf>
    <xf numFmtId="165" fontId="7" fillId="0" borderId="9" xfId="0" applyNumberFormat="1" applyFont="1" applyBorder="1" applyAlignment="1" applyProtection="1">
      <alignment horizontal="center" vertical="center"/>
      <protection locked="0"/>
    </xf>
    <xf numFmtId="166" fontId="7" fillId="0" borderId="8" xfId="0" applyNumberFormat="1" applyFont="1" applyBorder="1" applyAlignment="1" applyProtection="1">
      <alignment horizontal="center" vertical="center"/>
      <protection locked="0"/>
    </xf>
    <xf numFmtId="166" fontId="7" fillId="0" borderId="9" xfId="0" applyNumberFormat="1" applyFont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17" fillId="4" borderId="8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9" xfId="0" applyFont="1" applyFill="1" applyBorder="1" applyAlignment="1">
      <alignment horizontal="center"/>
    </xf>
    <xf numFmtId="0" fontId="9" fillId="7" borderId="10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68" fontId="7" fillId="0" borderId="12" xfId="1" applyNumberFormat="1" applyFont="1" applyBorder="1" applyAlignment="1" applyProtection="1">
      <alignment horizontal="center" vertical="center"/>
      <protection locked="0"/>
    </xf>
    <xf numFmtId="168" fontId="7" fillId="0" borderId="13" xfId="1" applyNumberFormat="1" applyFont="1" applyBorder="1" applyAlignment="1" applyProtection="1">
      <alignment horizontal="center" vertical="center"/>
      <protection locked="0"/>
    </xf>
    <xf numFmtId="168" fontId="7" fillId="0" borderId="14" xfId="1" applyNumberFormat="1" applyFont="1" applyBorder="1" applyAlignment="1" applyProtection="1">
      <alignment horizontal="center" vertical="center"/>
      <protection locked="0"/>
    </xf>
    <xf numFmtId="168" fontId="7" fillId="0" borderId="15" xfId="1" applyNumberFormat="1" applyFont="1" applyBorder="1" applyAlignment="1" applyProtection="1">
      <alignment horizontal="center" vertical="center"/>
      <protection locked="0"/>
    </xf>
    <xf numFmtId="168" fontId="7" fillId="0" borderId="16" xfId="1" applyNumberFormat="1" applyFont="1" applyBorder="1" applyAlignment="1" applyProtection="1">
      <alignment horizontal="center" vertical="center"/>
      <protection locked="0"/>
    </xf>
    <xf numFmtId="168" fontId="7" fillId="0" borderId="17" xfId="1" applyNumberFormat="1" applyFont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9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border outline="0"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name val="Times New Roman"/>
        <scheme val="none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color theme="1"/>
        <name val="Times New Roman"/>
        <scheme val="none"/>
      </font>
      <numFmt numFmtId="166" formatCode="[$$-409]#,##0.0"/>
    </dxf>
    <dxf>
      <font>
        <strike val="0"/>
        <outline val="0"/>
        <shadow val="0"/>
        <u val="none"/>
        <vertAlign val="baseline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color theme="1"/>
        <name val="Times New Roman"/>
        <scheme val="none"/>
      </font>
    </dxf>
    <dxf>
      <border outline="0"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color theme="1"/>
        <name val="Times New Roman"/>
        <scheme val="none"/>
      </font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scheme val="none"/>
      </font>
      <numFmt numFmtId="167" formatCode="[$$-540A]#,##0.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scheme val="none"/>
      </font>
      <numFmt numFmtId="166" formatCode="[$$-409]#,##0.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scheme val="none"/>
      </font>
      <numFmt numFmtId="165" formatCode="#,##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  <protection locked="1" hidden="0"/>
    </dxf>
    <dxf>
      <border outline="0">
        <top style="dotted">
          <color auto="1"/>
        </top>
      </border>
    </dxf>
    <dxf>
      <font>
        <strike val="0"/>
        <outline val="0"/>
        <shadow val="0"/>
        <u val="none"/>
        <vertAlign val="baseline"/>
        <sz val="6"/>
        <color auto="1"/>
        <name val="Consolas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  <protection locked="1" hidden="0"/>
    </dxf>
    <dxf>
      <border outline="0">
        <bottom style="dotted">
          <color auto="1"/>
        </bottom>
      </border>
    </dxf>
    <dxf>
      <font>
        <strike val="0"/>
        <outline val="0"/>
        <shadow val="0"/>
        <u val="none"/>
        <vertAlign val="baseline"/>
        <sz val="6"/>
        <name val="Consolas"/>
        <scheme val="none"/>
      </font>
      <alignment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305496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[Sistema_POS.xlsm]Calculos_BD!tablaSubtotal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Evolución</a:t>
            </a:r>
            <a:r>
              <a:rPr lang="en-US" baseline="0"/>
              <a:t> Diaria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Calculos_BD!$B$1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Calculos_BD!$A$2:$A$4</c:f>
              <c:multiLvlStrCache>
                <c:ptCount val="1"/>
                <c:lvl>
                  <c:pt idx="0">
                    <c:v>1-ene</c:v>
                  </c:pt>
                </c:lvl>
                <c:lvl>
                  <c:pt idx="0">
                    <c:v>ene</c:v>
                  </c:pt>
                </c:lvl>
              </c:multiLvlStrCache>
            </c:multiLvlStrRef>
          </c:cat>
          <c:val>
            <c:numRef>
              <c:f>Calculos_BD!$B$2:$B$4</c:f>
              <c:numCache>
                <c:formatCode>[$$-540A]#,##0.0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E83-91C2-9DEE7ECFF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3006319"/>
        <c:axId val="532996751"/>
      </c:barChart>
      <c:catAx>
        <c:axId val="533006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VE"/>
          </a:p>
        </c:txPr>
        <c:crossAx val="532996751"/>
        <c:crosses val="autoZero"/>
        <c:auto val="1"/>
        <c:lblAlgn val="ctr"/>
        <c:lblOffset val="100"/>
        <c:noMultiLvlLbl val="0"/>
      </c:catAx>
      <c:valAx>
        <c:axId val="532996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540A]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VE"/>
          </a:p>
        </c:txPr>
        <c:crossAx val="53300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[Sistema_POS.xlsm]Calculos_BD!tablaCantidad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VE"/>
              <a:t>Producto</a:t>
            </a:r>
            <a:r>
              <a:rPr lang="es-VE" baseline="0"/>
              <a:t> Top e Ingreso Generado</a:t>
            </a:r>
            <a:endParaRPr lang="es-V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Calculos_BD!$J$1</c:f>
              <c:strCache>
                <c:ptCount val="1"/>
                <c:pt idx="0">
                  <c:v>Suma de Cantidad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Calculos_BD!$I$2:$I$3</c:f>
              <c:strCache>
                <c:ptCount val="1"/>
                <c:pt idx="0">
                  <c:v>INICIO DE SISTEMA</c:v>
                </c:pt>
              </c:strCache>
            </c:strRef>
          </c:cat>
          <c:val>
            <c:numRef>
              <c:f>Calculos_BD!$J$2:$J$3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3-4970-B21E-95710537F1EF}"/>
            </c:ext>
          </c:extLst>
        </c:ser>
        <c:ser>
          <c:idx val="1"/>
          <c:order val="1"/>
          <c:tx>
            <c:strRef>
              <c:f>Calculos_BD!$K$1</c:f>
              <c:strCache>
                <c:ptCount val="1"/>
                <c:pt idx="0">
                  <c:v>Suma de Subtotal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Calculos_BD!$I$2:$I$3</c:f>
              <c:strCache>
                <c:ptCount val="1"/>
                <c:pt idx="0">
                  <c:v>INICIO DE SISTEMA</c:v>
                </c:pt>
              </c:strCache>
            </c:strRef>
          </c:cat>
          <c:val>
            <c:numRef>
              <c:f>Calculos_BD!$K$2:$K$3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23-4970-B21E-95710537F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0030143"/>
        <c:axId val="540021823"/>
      </c:barChart>
      <c:catAx>
        <c:axId val="540030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VE"/>
          </a:p>
        </c:txPr>
        <c:crossAx val="540021823"/>
        <c:crosses val="autoZero"/>
        <c:auto val="1"/>
        <c:lblAlgn val="ctr"/>
        <c:lblOffset val="100"/>
        <c:noMultiLvlLbl val="0"/>
      </c:catAx>
      <c:valAx>
        <c:axId val="540021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VE"/>
          </a:p>
        </c:txPr>
        <c:crossAx val="54003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12</xdr:col>
      <xdr:colOff>371475</xdr:colOff>
      <xdr:row>12</xdr:row>
      <xdr:rowOff>0</xdr:rowOff>
    </xdr:to>
    <xdr:sp macro="" textlink="">
      <xdr:nvSpPr>
        <xdr:cNvPr id="4" name="fotoProducto">
          <a:extLst>
            <a:ext uri="{FF2B5EF4-FFF2-40B4-BE49-F238E27FC236}">
              <a16:creationId xmlns:a16="http://schemas.microsoft.com/office/drawing/2014/main" id="{D4859EE2-6790-023E-30E8-46F425B45F50}"/>
            </a:ext>
          </a:extLst>
        </xdr:cNvPr>
        <xdr:cNvSpPr/>
      </xdr:nvSpPr>
      <xdr:spPr>
        <a:xfrm>
          <a:off x="3295650" y="609600"/>
          <a:ext cx="1514475" cy="1219200"/>
        </a:xfrm>
        <a:prstGeom prst="rect">
          <a:avLst/>
        </a:prstGeom>
        <a:solidFill>
          <a:srgbClr val="B4C7E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7</xdr:col>
      <xdr:colOff>0</xdr:colOff>
      <xdr:row>17</xdr:row>
      <xdr:rowOff>426</xdr:rowOff>
    </xdr:from>
    <xdr:to>
      <xdr:col>7</xdr:col>
      <xdr:colOff>380289</xdr:colOff>
      <xdr:row>18</xdr:row>
      <xdr:rowOff>114426</xdr:rowOff>
    </xdr:to>
    <xdr:grpSp>
      <xdr:nvGrpSpPr>
        <xdr:cNvPr id="8" name="Grupo 7"/>
        <xdr:cNvGrpSpPr/>
      </xdr:nvGrpSpPr>
      <xdr:grpSpPr>
        <a:xfrm>
          <a:off x="2667000" y="2534904"/>
          <a:ext cx="380289" cy="263087"/>
          <a:chOff x="2666289" y="2591226"/>
          <a:chExt cx="381000" cy="306000"/>
        </a:xfrm>
      </xdr:grpSpPr>
      <xdr:sp macro="[0]!PagoConTarjet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BE0A6B86-A2F0-4EE4-BD7D-76259788D340}"/>
              </a:ext>
            </a:extLst>
          </xdr:cNvPr>
          <xdr:cNvSpPr/>
        </xdr:nvSpPr>
        <xdr:spPr>
          <a:xfrm>
            <a:off x="2667000" y="2591226"/>
            <a:ext cx="380289" cy="2664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VE" sz="1100"/>
          </a:p>
        </xdr:txBody>
      </xdr:sp>
      <xdr:pic macro="[0]!PagoConTarjeta">
        <xdr:nvPicPr>
          <xdr:cNvPr id="10" name="Imagen 9" descr="Icono de Tarjeta de débito Flaticons Lineal Color | Freepik">
            <a:extLst>
              <a:ext uri="{FF2B5EF4-FFF2-40B4-BE49-F238E27FC236}">
                <a16:creationId xmlns:a16="http://schemas.microsoft.com/office/drawing/2014/main" id="{CAEA29AA-B233-434B-7435-EDAE802BF3E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886" b="15649"/>
          <a:stretch/>
        </xdr:blipFill>
        <xdr:spPr bwMode="auto">
          <a:xfrm>
            <a:off x="2742490" y="2620187"/>
            <a:ext cx="246773" cy="216000"/>
          </a:xfrm>
          <a:prstGeom prst="rect">
            <a:avLst/>
          </a:prstGeom>
          <a:solidFill>
            <a:schemeClr val="accent1">
              <a:lumMod val="75000"/>
            </a:schemeClr>
          </a:solidFill>
          <a:extLst/>
        </xdr:spPr>
      </xdr:pic>
    </xdr:grpSp>
    <xdr:clientData/>
  </xdr:twoCellAnchor>
  <xdr:twoCellAnchor>
    <xdr:from>
      <xdr:col>21</xdr:col>
      <xdr:colOff>0</xdr:colOff>
      <xdr:row>6</xdr:row>
      <xdr:rowOff>0</xdr:rowOff>
    </xdr:from>
    <xdr:to>
      <xdr:col>22</xdr:col>
      <xdr:colOff>0</xdr:colOff>
      <xdr:row>8</xdr:row>
      <xdr:rowOff>0</xdr:rowOff>
    </xdr:to>
    <xdr:sp macro="[0]!btnCambi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0C5CA4-C608-2308-AA0D-E96E09F63CCA}"/>
            </a:ext>
          </a:extLst>
        </xdr:cNvPr>
        <xdr:cNvSpPr/>
      </xdr:nvSpPr>
      <xdr:spPr>
        <a:xfrm>
          <a:off x="8533086" y="906517"/>
          <a:ext cx="781707" cy="302173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100" b="1">
              <a:latin typeface="Times New Roman" panose="02020603050405020304" pitchFamily="18" charset="0"/>
              <a:cs typeface="Times New Roman" panose="02020603050405020304" pitchFamily="18" charset="0"/>
            </a:rPr>
            <a:t>Cambiar</a:t>
          </a:r>
        </a:p>
      </xdr:txBody>
    </xdr:sp>
    <xdr:clientData/>
  </xdr:twoCellAnchor>
  <xdr:twoCellAnchor>
    <xdr:from>
      <xdr:col>3</xdr:col>
      <xdr:colOff>1</xdr:colOff>
      <xdr:row>20</xdr:row>
      <xdr:rowOff>152399</xdr:rowOff>
    </xdr:from>
    <xdr:to>
      <xdr:col>6</xdr:col>
      <xdr:colOff>0</xdr:colOff>
      <xdr:row>24</xdr:row>
      <xdr:rowOff>0</xdr:rowOff>
    </xdr:to>
    <xdr:grpSp>
      <xdr:nvGrpSpPr>
        <xdr:cNvPr id="11" name="Grupo 10"/>
        <xdr:cNvGrpSpPr/>
      </xdr:nvGrpSpPr>
      <xdr:grpSpPr>
        <a:xfrm>
          <a:off x="1143001" y="3134138"/>
          <a:ext cx="1142999" cy="443949"/>
          <a:chOff x="1143001" y="3200399"/>
          <a:chExt cx="1142999" cy="457201"/>
        </a:xfrm>
      </xdr:grpSpPr>
      <xdr:sp macro="[0]!BtnLimpiar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B17A7AE4-5B37-4C45-5F59-2B7FA44D7963}"/>
              </a:ext>
            </a:extLst>
          </xdr:cNvPr>
          <xdr:cNvSpPr/>
        </xdr:nvSpPr>
        <xdr:spPr>
          <a:xfrm>
            <a:off x="1143001" y="3200399"/>
            <a:ext cx="1142999" cy="457201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VE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Limpiar</a:t>
            </a:r>
          </a:p>
        </xdr:txBody>
      </xdr:sp>
      <xdr:pic macro="[0]!BtnLimpiar">
        <xdr:nvPicPr>
          <xdr:cNvPr id="9" name="Imagen 8"/>
          <xdr:cNvPicPr>
            <a:picLocks noChangeAspect="1"/>
          </xdr:cNvPicPr>
        </xdr:nvPicPr>
        <xdr:blipFill>
          <a:blip xmlns:r="http://schemas.openxmlformats.org/officeDocument/2006/relationships" r:embed="rId2">
            <a:lum bright="70000" contrast="-70000"/>
          </a:blip>
          <a:stretch>
            <a:fillRect/>
          </a:stretch>
        </xdr:blipFill>
        <xdr:spPr>
          <a:xfrm>
            <a:off x="1885950" y="3257550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123826</xdr:colOff>
      <xdr:row>20</xdr:row>
      <xdr:rowOff>152399</xdr:rowOff>
    </xdr:from>
    <xdr:to>
      <xdr:col>9</xdr:col>
      <xdr:colOff>257175</xdr:colOff>
      <xdr:row>24</xdr:row>
      <xdr:rowOff>0</xdr:rowOff>
    </xdr:to>
    <xdr:grpSp>
      <xdr:nvGrpSpPr>
        <xdr:cNvPr id="13" name="Grupo 12"/>
        <xdr:cNvGrpSpPr/>
      </xdr:nvGrpSpPr>
      <xdr:grpSpPr>
        <a:xfrm>
          <a:off x="2409826" y="3134138"/>
          <a:ext cx="1143827" cy="443949"/>
          <a:chOff x="2409826" y="3200399"/>
          <a:chExt cx="1142999" cy="457201"/>
        </a:xfrm>
      </xdr:grpSpPr>
      <xdr:sp macro="[0]!btnImprimir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7E375370-148A-4CE5-9B18-59069F83A791}"/>
              </a:ext>
            </a:extLst>
          </xdr:cNvPr>
          <xdr:cNvSpPr/>
        </xdr:nvSpPr>
        <xdr:spPr>
          <a:xfrm>
            <a:off x="2409826" y="3200399"/>
            <a:ext cx="1142999" cy="457201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VE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Imprimir</a:t>
            </a:r>
          </a:p>
        </xdr:txBody>
      </xdr:sp>
      <xdr:pic macro="[0]!btnImprimir">
        <xdr:nvPicPr>
          <xdr:cNvPr id="12" name="Imagen 11"/>
          <xdr:cNvPicPr>
            <a:picLocks noChangeAspect="1"/>
          </xdr:cNvPicPr>
        </xdr:nvPicPr>
        <xdr:blipFill>
          <a:blip xmlns:r="http://schemas.openxmlformats.org/officeDocument/2006/relationships" r:embed="rId3">
            <a:lum bright="70000" contrast="-70000"/>
          </a:blip>
          <a:stretch>
            <a:fillRect/>
          </a:stretch>
        </xdr:blipFill>
        <xdr:spPr>
          <a:xfrm>
            <a:off x="3181350" y="3276600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</xdr:colOff>
      <xdr:row>20</xdr:row>
      <xdr:rowOff>152399</xdr:rowOff>
    </xdr:from>
    <xdr:to>
      <xdr:col>13</xdr:col>
      <xdr:colOff>0</xdr:colOff>
      <xdr:row>24</xdr:row>
      <xdr:rowOff>0</xdr:rowOff>
    </xdr:to>
    <xdr:grpSp>
      <xdr:nvGrpSpPr>
        <xdr:cNvPr id="23" name="Grupo 22"/>
        <xdr:cNvGrpSpPr/>
      </xdr:nvGrpSpPr>
      <xdr:grpSpPr>
        <a:xfrm>
          <a:off x="3677479" y="3134138"/>
          <a:ext cx="1142999" cy="443949"/>
          <a:chOff x="3676651" y="3200399"/>
          <a:chExt cx="1142999" cy="457201"/>
        </a:xfrm>
      </xdr:grpSpPr>
      <xdr:sp macro="[0]!btnGuardar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DA670A60-D12F-4F96-A191-53B34323118C}"/>
              </a:ext>
            </a:extLst>
          </xdr:cNvPr>
          <xdr:cNvSpPr/>
        </xdr:nvSpPr>
        <xdr:spPr>
          <a:xfrm>
            <a:off x="3676651" y="3200399"/>
            <a:ext cx="1142999" cy="457201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VE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Guardar</a:t>
            </a:r>
          </a:p>
        </xdr:txBody>
      </xdr:sp>
      <xdr:pic macro="[0]!btnGuardar">
        <xdr:nvPicPr>
          <xdr:cNvPr id="16" name="Imagen 15"/>
          <xdr:cNvPicPr>
            <a:picLocks noChangeAspect="1"/>
          </xdr:cNvPicPr>
        </xdr:nvPicPr>
        <xdr:blipFill>
          <a:blip xmlns:r="http://schemas.openxmlformats.org/officeDocument/2006/relationships" r:embed="rId4">
            <a:lum bright="70000" contrast="-70000"/>
          </a:blip>
          <a:stretch>
            <a:fillRect/>
          </a:stretch>
        </xdr:blipFill>
        <xdr:spPr>
          <a:xfrm>
            <a:off x="4448175" y="32861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114300</xdr:colOff>
      <xdr:row>17</xdr:row>
      <xdr:rowOff>9070</xdr:rowOff>
    </xdr:from>
    <xdr:to>
      <xdr:col>6</xdr:col>
      <xdr:colOff>114301</xdr:colOff>
      <xdr:row>18</xdr:row>
      <xdr:rowOff>89477</xdr:rowOff>
    </xdr:to>
    <xdr:grpSp>
      <xdr:nvGrpSpPr>
        <xdr:cNvPr id="15" name="Grupo 14"/>
        <xdr:cNvGrpSpPr/>
      </xdr:nvGrpSpPr>
      <xdr:grpSpPr>
        <a:xfrm>
          <a:off x="2019300" y="2543548"/>
          <a:ext cx="381001" cy="229494"/>
          <a:chOff x="2019300" y="2599870"/>
          <a:chExt cx="381001" cy="232807"/>
        </a:xfrm>
      </xdr:grpSpPr>
      <xdr:sp macro="[0]!PagoConEfectiv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36FE901-248E-5C57-9EC6-84DF1C7AC306}"/>
              </a:ext>
            </a:extLst>
          </xdr:cNvPr>
          <xdr:cNvSpPr/>
        </xdr:nvSpPr>
        <xdr:spPr>
          <a:xfrm>
            <a:off x="2019300" y="2599870"/>
            <a:ext cx="381001" cy="23280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VE" sz="1100"/>
          </a:p>
        </xdr:txBody>
      </xdr:sp>
      <xdr:pic macro="[0]!PagoConEfectivo">
        <xdr:nvPicPr>
          <xdr:cNvPr id="14" name="Imagen 13"/>
          <xdr:cNvPicPr>
            <a:picLocks noChangeAspect="1"/>
          </xdr:cNvPicPr>
        </xdr:nvPicPr>
        <xdr:blipFill>
          <a:blip xmlns:r="http://schemas.openxmlformats.org/officeDocument/2006/relationships" r:embed="rId5">
            <a:lum bright="70000" contrast="-70000"/>
          </a:blip>
          <a:stretch>
            <a:fillRect/>
          </a:stretch>
        </xdr:blipFill>
        <xdr:spPr>
          <a:xfrm>
            <a:off x="2124075" y="261937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171453</xdr:colOff>
      <xdr:row>0</xdr:row>
      <xdr:rowOff>28575</xdr:rowOff>
    </xdr:from>
    <xdr:to>
      <xdr:col>12</xdr:col>
      <xdr:colOff>176554</xdr:colOff>
      <xdr:row>2</xdr:row>
      <xdr:rowOff>119775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6">
          <a:lum bright="70000" contrast="-70000"/>
        </a:blip>
        <a:stretch>
          <a:fillRect/>
        </a:stretch>
      </xdr:blipFill>
      <xdr:spPr>
        <a:xfrm>
          <a:off x="4229103" y="28575"/>
          <a:ext cx="386101" cy="39600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0</xdr:row>
      <xdr:rowOff>140804</xdr:rowOff>
    </xdr:from>
    <xdr:to>
      <xdr:col>22</xdr:col>
      <xdr:colOff>0</xdr:colOff>
      <xdr:row>2</xdr:row>
      <xdr:rowOff>140804</xdr:rowOff>
    </xdr:to>
    <xdr:sp macro="[0]!ResetearSistema" textlink="">
      <xdr:nvSpPr>
        <xdr:cNvPr id="24" name="Rectángulo: esquinas redondeadas 1">
          <a:extLst>
            <a:ext uri="{FF2B5EF4-FFF2-40B4-BE49-F238E27FC236}">
              <a16:creationId xmlns:a16="http://schemas.microsoft.com/office/drawing/2014/main" id="{6E0C5CA4-C608-2308-AA0D-E96E09F63CCA}"/>
            </a:ext>
          </a:extLst>
        </xdr:cNvPr>
        <xdr:cNvSpPr/>
      </xdr:nvSpPr>
      <xdr:spPr>
        <a:xfrm>
          <a:off x="8533086" y="140804"/>
          <a:ext cx="781707" cy="302172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>
              <a:latin typeface="Times New Roman" panose="02020603050405020304" pitchFamily="18" charset="0"/>
              <a:cs typeface="Times New Roman" panose="02020603050405020304" pitchFamily="18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619126</xdr:colOff>
      <xdr:row>0</xdr:row>
      <xdr:rowOff>47626</xdr:rowOff>
    </xdr:from>
    <xdr:to>
      <xdr:col>9</xdr:col>
      <xdr:colOff>61074</xdr:colOff>
      <xdr:row>2</xdr:row>
      <xdr:rowOff>161926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</a:blip>
        <a:stretch>
          <a:fillRect/>
        </a:stretch>
      </xdr:blipFill>
      <xdr:spPr>
        <a:xfrm>
          <a:off x="8591551" y="47626"/>
          <a:ext cx="495300" cy="495300"/>
        </a:xfrm>
        <a:prstGeom prst="rect">
          <a:avLst/>
        </a:prstGeom>
      </xdr:spPr>
    </xdr:pic>
    <xdr:clientData/>
  </xdr:twoCellAnchor>
  <xdr:oneCellAnchor>
    <xdr:from>
      <xdr:col>18</xdr:col>
      <xdr:colOff>619126</xdr:colOff>
      <xdr:row>0</xdr:row>
      <xdr:rowOff>47626</xdr:rowOff>
    </xdr:from>
    <xdr:ext cx="495300" cy="49530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</a:blip>
        <a:stretch>
          <a:fillRect/>
        </a:stretch>
      </xdr:blipFill>
      <xdr:spPr>
        <a:xfrm>
          <a:off x="8591551" y="47626"/>
          <a:ext cx="495300" cy="495300"/>
        </a:xfrm>
        <a:prstGeom prst="rect">
          <a:avLst/>
        </a:prstGeom>
      </xdr:spPr>
    </xdr:pic>
    <xdr:clientData/>
  </xdr:oneCellAnchor>
  <xdr:oneCellAnchor>
    <xdr:from>
      <xdr:col>28</xdr:col>
      <xdr:colOff>619126</xdr:colOff>
      <xdr:row>0</xdr:row>
      <xdr:rowOff>47626</xdr:rowOff>
    </xdr:from>
    <xdr:ext cx="495300" cy="49530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</a:blip>
        <a:stretch>
          <a:fillRect/>
        </a:stretch>
      </xdr:blipFill>
      <xdr:spPr>
        <a:xfrm>
          <a:off x="16211551" y="47626"/>
          <a:ext cx="495300" cy="49530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12</xdr:row>
      <xdr:rowOff>0</xdr:rowOff>
    </xdr:from>
    <xdr:to>
      <xdr:col>4</xdr:col>
      <xdr:colOff>1</xdr:colOff>
      <xdr:row>23</xdr:row>
      <xdr:rowOff>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0</xdr:colOff>
      <xdr:row>12</xdr:row>
      <xdr:rowOff>0</xdr:rowOff>
    </xdr:from>
    <xdr:to>
      <xdr:col>9</xdr:col>
      <xdr:colOff>835</xdr:colOff>
      <xdr:row>22</xdr:row>
      <xdr:rowOff>190200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0</xdr:colOff>
      <xdr:row>14</xdr:row>
      <xdr:rowOff>0</xdr:rowOff>
    </xdr:from>
    <xdr:to>
      <xdr:col>11</xdr:col>
      <xdr:colOff>390000</xdr:colOff>
      <xdr:row>15</xdr:row>
      <xdr:rowOff>185457</xdr:rowOff>
    </xdr:to>
    <xdr:sp macro="" textlink="Calculos_BD!T2">
      <xdr:nvSpPr>
        <xdr:cNvPr id="23" name="Rectángulo redondeado 22"/>
        <xdr:cNvSpPr/>
      </xdr:nvSpPr>
      <xdr:spPr>
        <a:xfrm>
          <a:off x="10533529" y="2667000"/>
          <a:ext cx="1443353" cy="37595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56750AA-8647-45E3-B5DB-689CA345A7EF}" type="TxLink"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$0.0</a:t>
          </a:fld>
          <a:endParaRPr lang="es-VE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390000</xdr:colOff>
      <xdr:row>20</xdr:row>
      <xdr:rowOff>185457</xdr:rowOff>
    </xdr:to>
    <xdr:sp macro="" textlink="Calculos_BD!T8">
      <xdr:nvSpPr>
        <xdr:cNvPr id="25" name="Rectángulo redondeado 24"/>
        <xdr:cNvSpPr/>
      </xdr:nvSpPr>
      <xdr:spPr>
        <a:xfrm>
          <a:off x="10533529" y="3619500"/>
          <a:ext cx="1443353" cy="37595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E887152-2B9F-4BD2-A5EC-6CF48753670F}" type="TxLink"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$0.0</a:t>
          </a:fld>
          <a:endParaRPr lang="es-VE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390525</xdr:colOff>
      <xdr:row>20</xdr:row>
      <xdr:rowOff>183900</xdr:rowOff>
    </xdr:to>
    <xdr:sp macro="" textlink="Calculos_BD!T5">
      <xdr:nvSpPr>
        <xdr:cNvPr id="30" name="Rectángulo redondeado 29"/>
        <xdr:cNvSpPr/>
      </xdr:nvSpPr>
      <xdr:spPr>
        <a:xfrm>
          <a:off x="12640235" y="3619500"/>
          <a:ext cx="1443878" cy="3744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AC283D7-56C7-4010-AF85-C483F5D99F48}" type="TxLink"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$0.0</a:t>
          </a:fld>
          <a:endParaRPr lang="es-VE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12</xdr:col>
      <xdr:colOff>0</xdr:colOff>
      <xdr:row>14</xdr:row>
      <xdr:rowOff>21906</xdr:rowOff>
    </xdr:from>
    <xdr:ext cx="2445988" cy="330587"/>
    <xdr:sp macro="" textlink="Calculos_BD!T12">
      <xdr:nvSpPr>
        <xdr:cNvPr id="32" name="Rectángulo redondeado 31"/>
        <xdr:cNvSpPr/>
      </xdr:nvSpPr>
      <xdr:spPr>
        <a:xfrm>
          <a:off x="12640235" y="2688906"/>
          <a:ext cx="2445988" cy="33058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none" lIns="180000" rIns="36000" rtlCol="0" anchor="ctr">
          <a:spAutoFit/>
        </a:bodyPr>
        <a:lstStyle/>
        <a:p>
          <a:pPr algn="l"/>
          <a:fld id="{1253ABB8-AA2F-4EC4-9B57-F8B348DCDE52}" type="TxLink">
            <a:rPr lang="en-US" sz="14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l"/>
            <a:t>No hay ventas</a:t>
          </a:fld>
          <a:endParaRPr lang="es-VE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oneCellAnchor>
  <xdr:twoCellAnchor editAs="oneCell">
    <xdr:from>
      <xdr:col>1</xdr:col>
      <xdr:colOff>1019735</xdr:colOff>
      <xdr:row>3</xdr:row>
      <xdr:rowOff>179294</xdr:rowOff>
    </xdr:from>
    <xdr:to>
      <xdr:col>7</xdr:col>
      <xdr:colOff>268940</xdr:colOff>
      <xdr:row>11</xdr:row>
      <xdr:rowOff>26894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7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3088" y="750794"/>
              <a:ext cx="55693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 fLocksWithSheet="0"/>
  </xdr:twoCellAnchor>
  <xdr:twoCellAnchor>
    <xdr:from>
      <xdr:col>10</xdr:col>
      <xdr:colOff>0</xdr:colOff>
      <xdr:row>9</xdr:row>
      <xdr:rowOff>0</xdr:rowOff>
    </xdr:from>
    <xdr:to>
      <xdr:col>11</xdr:col>
      <xdr:colOff>390000</xdr:colOff>
      <xdr:row>10</xdr:row>
      <xdr:rowOff>185457</xdr:rowOff>
    </xdr:to>
    <xdr:sp macro="[0]!ActualizarSistema" textlink="">
      <xdr:nvSpPr>
        <xdr:cNvPr id="13" name="Rectángulo redondeado 12"/>
        <xdr:cNvSpPr/>
      </xdr:nvSpPr>
      <xdr:spPr>
        <a:xfrm>
          <a:off x="10533529" y="1714500"/>
          <a:ext cx="1443353" cy="37595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Actualizar</a:t>
          </a:r>
          <a:r>
            <a:rPr lang="en-US" sz="1600" b="1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1600" b="1" i="0" u="none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uardo Cuevas" refreshedDate="46039.008742245373" createdVersion="6" refreshedVersion="6" minRefreshableVersion="3" recordCount="1">
  <cacheSource type="worksheet">
    <worksheetSource name="tablaDatosFactura"/>
  </cacheSource>
  <cacheFields count="14">
    <cacheField name="Factura" numFmtId="0">
      <sharedItems containsBlank="1" count="12">
        <s v="FAC0000"/>
        <m u="1"/>
        <s v="FAC0010" u="1"/>
        <s v="FAC0001" u="1"/>
        <s v="FAC0002" u="1"/>
        <s v="FAC0003" u="1"/>
        <s v="FAC0004" u="1"/>
        <s v="FAC0005" u="1"/>
        <s v="FAC0006" u="1"/>
        <s v="FAC0007" u="1"/>
        <s v="FAC0008" u="1"/>
        <s v="FAC0009" u="1"/>
      </sharedItems>
    </cacheField>
    <cacheField name="Tipo de Pago" numFmtId="0">
      <sharedItems/>
    </cacheField>
    <cacheField name="Fecha" numFmtId="22">
      <sharedItems containsSemiMixedTypes="0" containsNonDate="0" containsDate="1" containsString="0" minDate="2026-01-01T12:00:00" maxDate="2026-01-01T12:00:00" count="1">
        <d v="2026-01-01T12:00:00"/>
      </sharedItems>
      <fieldGroup par="13" base="2">
        <rangePr groupBy="days" startDate="2026-01-01T12:00:00" endDate="2026-01-01T12:00:00"/>
        <groupItems count="368">
          <s v="&lt;1/1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t"/>
          <s v="2-sept"/>
          <s v="3-sept"/>
          <s v="4-sept"/>
          <s v="5-sept"/>
          <s v="6-sept"/>
          <s v="7-sept"/>
          <s v="8-sept"/>
          <s v="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6"/>
        </groupItems>
      </fieldGroup>
    </cacheField>
    <cacheField name="Facturador" numFmtId="0">
      <sharedItems/>
    </cacheField>
    <cacheField name="Cod. Producto" numFmtId="0">
      <sharedItems containsBlank="1" count="28">
        <s v="INICIO DE SISTEMA"/>
        <m u="1"/>
        <s v="555-0005" u="1"/>
        <s v="555-0010" u="1"/>
        <s v="555-0015" u="1"/>
        <s v="555-0030" u="1"/>
        <s v="555-0004" u="1"/>
        <s v="555-0009" u="1"/>
        <s v="555-0014" u="1"/>
        <s v="555-0019" u="1"/>
        <s v="555-0034" u="1"/>
        <s v="555-0003" u="1"/>
        <s v="555-0008" u="1"/>
        <s v="555-0013" u="1"/>
        <s v="555-0018" u="1"/>
        <s v="555-0023" u="1"/>
        <s v="555-0002" u="1"/>
        <s v="555-0007" u="1"/>
        <s v="555-0012" u="1"/>
        <s v="555-0017" u="1"/>
        <s v="555-0022" u="1"/>
        <s v="555-0027" u="1"/>
        <s v="555-0032" u="1"/>
        <s v="555-0001" u="1"/>
        <s v="555-0006" u="1"/>
        <s v="555-0011" u="1"/>
        <s v="555-0016" u="1"/>
        <s v="555-0021" u="1"/>
      </sharedItems>
    </cacheField>
    <cacheField name="Cantidad" numFmtId="0">
      <sharedItems containsSemiMixedTypes="0" containsString="0" containsNumber="1" containsInteger="1" minValue="0" maxValue="0"/>
    </cacheField>
    <cacheField name="Precio" numFmtId="0">
      <sharedItems containsSemiMixedTypes="0" containsString="0" containsNumber="1" containsInteger="1" minValue="0" maxValue="0"/>
    </cacheField>
    <cacheField name="Subtotal" numFmtId="0">
      <sharedItems containsSemiMixedTypes="0" containsString="0" containsNumber="1" containsInteger="1" minValue="0" maxValue="0"/>
    </cacheField>
    <cacheField name="IVA" numFmtId="0">
      <sharedItems containsSemiMixedTypes="0" containsString="0" containsNumber="1" containsInteger="1" minValue="0" maxValue="0"/>
    </cacheField>
    <cacheField name="Monto IVA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0" maxValue="0"/>
    </cacheField>
    <cacheField name="Recibido" numFmtId="0">
      <sharedItems containsSemiMixedTypes="0" containsString="0" containsNumber="1" containsInteger="1" minValue="0" maxValue="0"/>
    </cacheField>
    <cacheField name="Cambio" numFmtId="0">
      <sharedItems containsSemiMixedTypes="0" containsString="0" containsNumber="1" containsInteger="1" minValue="0" maxValue="0"/>
    </cacheField>
    <cacheField name="Meses" numFmtId="0" databaseField="0">
      <fieldGroup base="2">
        <rangePr groupBy="months" startDate="2026-01-01T12:00:00" endDate="2026-01-01T12:00:00"/>
        <groupItems count="14">
          <s v="&lt;1/1/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/1/2026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Efectivo"/>
    <x v="0"/>
    <s v="SISTEMA"/>
    <x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Subtotal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7">
  <location ref="A1:B4" firstHeaderRow="1" firstDataRow="1" firstDataCol="1"/>
  <pivotFields count="14"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3"/>
    <field x="2"/>
  </rowFields>
  <rowItems count="3">
    <i>
      <x v="1"/>
    </i>
    <i r="1">
      <x v="1"/>
    </i>
    <i t="grand">
      <x/>
    </i>
  </rowItems>
  <colItems count="1">
    <i/>
  </colItems>
  <dataFields count="1">
    <dataField name="Suma de Subtotal" fld="7" baseField="2" baseItem="16" numFmtId="167"/>
  </dataFields>
  <chartFormats count="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MontoIVA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E1:F4" firstHeaderRow="1" firstDataRow="1" firstDataCol="1"/>
  <pivotFields count="14"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3"/>
    <field x="2"/>
  </rowFields>
  <rowItems count="3">
    <i>
      <x v="1"/>
    </i>
    <i r="1">
      <x v="1"/>
    </i>
    <i t="grand">
      <x/>
    </i>
  </rowItems>
  <colItems count="1">
    <i/>
  </colItems>
  <dataFields count="1">
    <dataField name="Suma de Monto IVA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Facturas" cacheId="0" applyNumberFormats="0" applyBorderFormats="0" applyFontFormats="0" applyPatternFormats="0" applyAlignmentFormats="0" applyWidthHeightFormats="1" dataCaption="Valores" updatedVersion="6" minRefreshableVersion="5" useAutoFormatting="1" rowGrandTotals="0" itemPrintTitles="1" createdVersion="6" indent="0" outline="1" outlineData="1" multipleFieldFilters="0">
  <location ref="N1:N2" firstHeaderRow="1" firstDataRow="1" firstDataCol="1"/>
  <pivotFields count="14">
    <pivotField axis="axisRow" showAll="0">
      <items count="13">
        <item m="1" x="3"/>
        <item m="1" x="4"/>
        <item m="1" x="5"/>
        <item m="1" x="6"/>
        <item m="1" x="7"/>
        <item m="1" x="8"/>
        <item m="1" x="9"/>
        <item m="1" x="10"/>
        <item m="1" x="11"/>
        <item m="1" x="2"/>
        <item m="1" x="1"/>
        <item x="0"/>
        <item t="default"/>
      </items>
    </pivotField>
    <pivotField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0"/>
  </rowFields>
  <rowItems count="1">
    <i>
      <x v="1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Cantidad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7">
  <location ref="I1:K3" firstHeaderRow="0" firstDataRow="1" firstDataCol="1"/>
  <pivotFields count="14"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measureFilter="1" sortType="descending">
      <items count="29">
        <item m="1" x="23"/>
        <item m="1" x="16"/>
        <item m="1" x="11"/>
        <item m="1" x="20"/>
        <item m="1" x="19"/>
        <item m="1" x="21"/>
        <item m="1" x="5"/>
        <item m="1" x="24"/>
        <item m="1" x="17"/>
        <item m="1" x="10"/>
        <item m="1" x="15"/>
        <item m="1" x="27"/>
        <item m="1" x="1"/>
        <item x="0"/>
        <item m="1" x="6"/>
        <item m="1" x="2"/>
        <item m="1" x="12"/>
        <item m="1" x="7"/>
        <item m="1" x="3"/>
        <item m="1" x="25"/>
        <item m="1" x="18"/>
        <item m="1" x="13"/>
        <item m="1" x="8"/>
        <item m="1" x="4"/>
        <item m="1" x="26"/>
        <item m="1" x="14"/>
        <item m="1" x="9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dataField="1" showAll="0"/>
    <pivotField showAll="0"/>
    <pivotField showAll="0" defaultSubtotal="0"/>
    <pivotField showAll="0" defaultSubtota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2"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5" baseField="0" baseItem="0"/>
    <dataField name="Suma de Subtotal" fld="7" baseField="0" baseItem="0"/>
  </dataFields>
  <chartFormats count="4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1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aFactura" displayName="tablaFactura" ref="Q11:T12" totalsRowShown="0" headerRowDxfId="40" dataDxfId="38" headerRowBorderDxfId="39" tableBorderDxfId="37">
  <autoFilter ref="Q11:T12">
    <filterColumn colId="0" hiddenButton="1"/>
    <filterColumn colId="1" hiddenButton="1"/>
    <filterColumn colId="2" hiddenButton="1"/>
    <filterColumn colId="3" hiddenButton="1"/>
  </autoFilter>
  <tableColumns count="4">
    <tableColumn id="1" name="Producto" dataDxfId="36"/>
    <tableColumn id="2" name="Cant" dataDxfId="35"/>
    <tableColumn id="3" name="Precio" dataDxfId="34"/>
    <tableColumn id="4" name="Total" dataDxfId="33">
      <calculatedColumnFormula>tablaFactura[[#This Row],[Cant]]*tablaFactura[[#This Row],[Precio]]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aProductos" displayName="tablaProductos" ref="A2:E85" totalsRowShown="0" headerRowDxfId="32" dataDxfId="30" headerRowBorderDxfId="31">
  <autoFilter ref="A2:E85"/>
  <tableColumns count="5">
    <tableColumn id="1" name="Id" dataDxfId="29"/>
    <tableColumn id="2" name="Nombre" dataDxfId="28"/>
    <tableColumn id="3" name="Descripción " dataDxfId="27"/>
    <tableColumn id="4" name="Precio" dataDxfId="26"/>
    <tableColumn id="5" name="Ruta " dataDxfId="2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aRegistroFacturas" displayName="TablaRegistroFacturas" ref="G2:H3" totalsRowShown="0" headerRowDxfId="24" dataDxfId="22" headerRowBorderDxfId="23">
  <autoFilter ref="G2:H3"/>
  <tableColumns count="2">
    <tableColumn id="1" name="Id" dataDxfId="21"/>
    <tableColumn id="2" name="Código" dataDxfId="20">
      <calculatedColumnFormula>"FAC"&amp;TEXT(G3,"0000")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6" name="TablaFacturador" displayName="TablaFacturador" ref="J2:J4" totalsRowShown="0" headerRowDxfId="19" dataDxfId="17" headerRowBorderDxfId="18">
  <autoFilter ref="J2:J4"/>
  <tableColumns count="1">
    <tableColumn id="1" name="Nombre" dataDxfId="1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tablaDatosFactura" displayName="tablaDatosFactura" ref="A1:M2" totalsRowShown="0" headerRowDxfId="15" dataDxfId="13" headerRowBorderDxfId="14">
  <autoFilter ref="A1:M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Factura" dataDxfId="12"/>
    <tableColumn id="2" name="Tipo de Pago" dataDxfId="11"/>
    <tableColumn id="3" name="Fecha" dataDxfId="10"/>
    <tableColumn id="4" name="Facturador" dataDxfId="9"/>
    <tableColumn id="5" name="Cod. Producto" dataDxfId="8"/>
    <tableColumn id="6" name="Cantidad" dataDxfId="7"/>
    <tableColumn id="7" name="Precio" dataDxfId="6"/>
    <tableColumn id="8" name="Subtotal" dataDxfId="5"/>
    <tableColumn id="9" name="IVA" dataDxfId="4"/>
    <tableColumn id="10" name="Monto IVA" dataDxfId="3"/>
    <tableColumn id="11" name="Total" dataDxfId="2"/>
    <tableColumn id="12" name="Recibido" dataDxfId="1"/>
    <tableColumn id="13" name="Camb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" sourceName="Fecha">
  <pivotTables>
    <pivotTable tabId="5" name="tablaSubtotal"/>
    <pivotTable tabId="5" name="tablaCantidad"/>
    <pivotTable tabId="5" name="tablaFacturas"/>
    <pivotTable tabId="5" name="tablaMontoIVA"/>
  </pivotTables>
  <state minimalRefreshVersion="6" lastRefreshVersion="6" pivotCacheId="1" filterType="unknown">
    <bounds startDate="2026-01-01T12:00:00" endDate="2027-01-01T1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" cache="NativeTimeline_Fecha" caption="Fecha" level="2" selectionLevel="2" scrollPosition="2026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499984740745262"/>
  </sheetPr>
  <dimension ref="D1:V100"/>
  <sheetViews>
    <sheetView showGridLines="0" showRowColHeaders="0" tabSelected="1" zoomScale="115" zoomScaleNormal="115" workbookViewId="0">
      <selection activeCell="P26" sqref="P26"/>
    </sheetView>
  </sheetViews>
  <sheetFormatPr baseColWidth="10" defaultRowHeight="15" x14ac:dyDescent="0.25"/>
  <cols>
    <col min="1" max="8" width="5.7109375" customWidth="1"/>
    <col min="9" max="9" width="3.7109375" customWidth="1"/>
    <col min="10" max="16" width="5.7109375" customWidth="1"/>
    <col min="17" max="17" width="12.7109375" customWidth="1"/>
    <col min="18" max="18" width="3.7109375" customWidth="1"/>
    <col min="19" max="19" width="7.7109375" customWidth="1"/>
    <col min="20" max="20" width="8.7109375" customWidth="1"/>
    <col min="21" max="21" width="5.7109375" customWidth="1"/>
    <col min="22" max="22" width="11.7109375" customWidth="1"/>
    <col min="23" max="26" width="5.7109375" customWidth="1"/>
  </cols>
  <sheetData>
    <row r="1" spans="4:22" ht="12" customHeight="1" x14ac:dyDescent="0.25">
      <c r="D1" s="61" t="s">
        <v>187</v>
      </c>
      <c r="E1" s="61"/>
      <c r="F1" s="61"/>
      <c r="G1" s="61"/>
      <c r="H1" s="61"/>
      <c r="I1" s="61"/>
      <c r="J1" s="61"/>
      <c r="K1" s="61"/>
      <c r="L1" s="61"/>
      <c r="M1" s="61"/>
      <c r="Q1" s="20"/>
      <c r="R1" s="20"/>
      <c r="S1" s="20"/>
      <c r="T1" s="20"/>
      <c r="U1" s="1"/>
    </row>
    <row r="2" spans="4:22" ht="12" customHeight="1" x14ac:dyDescent="0.25">
      <c r="D2" s="61"/>
      <c r="E2" s="61"/>
      <c r="F2" s="61"/>
      <c r="G2" s="61"/>
      <c r="H2" s="61"/>
      <c r="I2" s="61"/>
      <c r="J2" s="61"/>
      <c r="K2" s="61"/>
      <c r="L2" s="61"/>
      <c r="M2" s="61"/>
      <c r="Q2" s="54" t="s">
        <v>263</v>
      </c>
      <c r="R2" s="54"/>
      <c r="S2" s="54"/>
      <c r="T2" s="54"/>
      <c r="U2" s="7"/>
      <c r="V2" s="2"/>
    </row>
    <row r="3" spans="4:22" ht="12" customHeight="1" x14ac:dyDescent="0.25">
      <c r="D3" s="61"/>
      <c r="E3" s="61"/>
      <c r="F3" s="61"/>
      <c r="G3" s="61"/>
      <c r="H3" s="61"/>
      <c r="I3" s="61"/>
      <c r="J3" s="61"/>
      <c r="K3" s="61"/>
      <c r="L3" s="61"/>
      <c r="M3" s="61"/>
      <c r="Q3" s="53" t="s">
        <v>186</v>
      </c>
      <c r="R3" s="53"/>
      <c r="S3" s="53"/>
      <c r="T3" s="53"/>
      <c r="U3" s="7"/>
      <c r="V3" s="2"/>
    </row>
    <row r="4" spans="4:22" ht="12" customHeight="1" x14ac:dyDescent="0.25">
      <c r="Q4" s="53" t="s">
        <v>264</v>
      </c>
      <c r="R4" s="53"/>
      <c r="S4" s="53"/>
      <c r="T4" s="53"/>
      <c r="U4" s="7"/>
      <c r="V4" s="2"/>
    </row>
    <row r="5" spans="4:22" ht="12" customHeight="1" x14ac:dyDescent="0.25">
      <c r="D5" s="62" t="s">
        <v>185</v>
      </c>
      <c r="E5" s="63"/>
      <c r="F5" s="64"/>
      <c r="G5" s="68"/>
      <c r="H5" s="69"/>
      <c r="J5" s="72"/>
      <c r="K5" s="72"/>
      <c r="L5" s="72"/>
      <c r="M5" s="72"/>
      <c r="Q5" s="53" t="s">
        <v>265</v>
      </c>
      <c r="R5" s="53"/>
      <c r="S5" s="53"/>
      <c r="T5" s="53"/>
      <c r="U5" s="8"/>
      <c r="V5" s="2"/>
    </row>
    <row r="6" spans="4:22" ht="12" customHeight="1" x14ac:dyDescent="0.25">
      <c r="D6" s="65"/>
      <c r="E6" s="66"/>
      <c r="F6" s="67"/>
      <c r="G6" s="70"/>
      <c r="H6" s="71"/>
      <c r="J6" s="72"/>
      <c r="K6" s="72"/>
      <c r="L6" s="72"/>
      <c r="M6" s="72"/>
      <c r="Q6" s="53" t="s">
        <v>266</v>
      </c>
      <c r="R6" s="53"/>
      <c r="S6" s="53"/>
      <c r="T6" s="53"/>
      <c r="U6" s="8"/>
      <c r="V6" s="2"/>
    </row>
    <row r="7" spans="4:22" ht="12" customHeight="1" x14ac:dyDescent="0.25">
      <c r="J7" s="72"/>
      <c r="K7" s="72"/>
      <c r="L7" s="72"/>
      <c r="M7" s="72"/>
      <c r="Q7" s="53" t="str">
        <f>"Factura: FAC"&amp;TEXT($G$26,"0000")</f>
        <v>Factura: FAC0001</v>
      </c>
      <c r="R7" s="53"/>
      <c r="S7" s="53" t="str">
        <f>"Pago con: "&amp;$G$20</f>
        <v>Pago con: Efectivo</v>
      </c>
      <c r="T7" s="53"/>
      <c r="U7" s="7"/>
      <c r="V7" s="2"/>
    </row>
    <row r="8" spans="4:22" ht="12" customHeight="1" x14ac:dyDescent="0.25">
      <c r="D8" s="52" t="s">
        <v>163</v>
      </c>
      <c r="E8" s="52"/>
      <c r="G8" s="52" t="s">
        <v>164</v>
      </c>
      <c r="H8" s="52"/>
      <c r="J8" s="72"/>
      <c r="K8" s="72"/>
      <c r="L8" s="72"/>
      <c r="M8" s="72"/>
      <c r="Q8" s="53" t="str">
        <f ca="1">"Fecha: "&amp;TEXT($F$28,"dd/mm/yyyy hh:mm")</f>
        <v>Fecha: 18/01/2026 22:31</v>
      </c>
      <c r="R8" s="53"/>
      <c r="S8" s="53" t="str">
        <f>"Facturado por: "&amp;$L$26</f>
        <v>Facturado por: John</v>
      </c>
      <c r="T8" s="53"/>
      <c r="U8" s="7"/>
      <c r="V8" s="2"/>
    </row>
    <row r="9" spans="4:22" ht="12" customHeight="1" x14ac:dyDescent="0.25">
      <c r="D9" s="73"/>
      <c r="E9" s="74"/>
      <c r="G9" s="75"/>
      <c r="H9" s="76"/>
      <c r="J9" s="72"/>
      <c r="K9" s="72"/>
      <c r="L9" s="72"/>
      <c r="M9" s="72"/>
      <c r="Q9" s="55" t="str">
        <f>"FAC"&amp;TEXT($G$26, "0000")</f>
        <v>FAC0001</v>
      </c>
      <c r="R9" s="55"/>
      <c r="S9" s="55"/>
      <c r="T9" s="55"/>
      <c r="U9" s="7"/>
      <c r="V9" s="2" t="s">
        <v>188</v>
      </c>
    </row>
    <row r="10" spans="4:22" ht="12" customHeight="1" x14ac:dyDescent="0.25">
      <c r="J10" s="72"/>
      <c r="K10" s="72"/>
      <c r="L10" s="72"/>
      <c r="M10" s="72"/>
      <c r="N10" t="s">
        <v>157</v>
      </c>
      <c r="Q10" s="55"/>
      <c r="R10" s="55"/>
      <c r="S10" s="55"/>
      <c r="T10" s="55"/>
      <c r="U10" s="7"/>
      <c r="V10" s="2"/>
    </row>
    <row r="11" spans="4:22" ht="12" customHeight="1" x14ac:dyDescent="0.25">
      <c r="D11" s="6" t="s">
        <v>165</v>
      </c>
      <c r="J11" s="72"/>
      <c r="K11" s="72"/>
      <c r="L11" s="72"/>
      <c r="M11" s="72"/>
      <c r="Q11" s="21" t="s">
        <v>174</v>
      </c>
      <c r="R11" s="22" t="s">
        <v>175</v>
      </c>
      <c r="S11" s="23" t="s">
        <v>2</v>
      </c>
      <c r="T11" s="23" t="s">
        <v>176</v>
      </c>
      <c r="U11" s="7"/>
      <c r="V11" s="4" t="s">
        <v>182</v>
      </c>
    </row>
    <row r="12" spans="4:22" ht="12" customHeight="1" x14ac:dyDescent="0.25">
      <c r="D12" s="77" t="str">
        <f>IFERROR(VLOOKUP($G$5,tablaProductos[],2,FALSE),"---")</f>
        <v>---</v>
      </c>
      <c r="E12" s="78"/>
      <c r="F12" s="78"/>
      <c r="G12" s="78"/>
      <c r="H12" s="79"/>
      <c r="J12" s="72"/>
      <c r="K12" s="72"/>
      <c r="L12" s="72"/>
      <c r="M12" s="72"/>
      <c r="Q12" s="24"/>
      <c r="R12" s="25"/>
      <c r="S12" s="26"/>
      <c r="T12" s="27">
        <f>tablaFactura[[#This Row],[Cant]]*tablaFactura[[#This Row],[Precio]]</f>
        <v>0</v>
      </c>
      <c r="U12" s="7"/>
      <c r="V12" s="3"/>
    </row>
    <row r="13" spans="4:22" ht="12" customHeight="1" x14ac:dyDescent="0.25">
      <c r="Q13" s="28"/>
      <c r="R13" s="28"/>
      <c r="S13" s="28"/>
      <c r="T13" s="28"/>
      <c r="U13" s="7"/>
      <c r="V13" s="3"/>
    </row>
    <row r="14" spans="4:22" ht="12" customHeight="1" x14ac:dyDescent="0.25">
      <c r="D14" s="36" t="s">
        <v>166</v>
      </c>
      <c r="E14" s="6"/>
      <c r="F14" s="80" t="str">
        <f>IFERROR(VLOOKUP($G$5,tablaProductos[],3,FALSE),"--")</f>
        <v>--</v>
      </c>
      <c r="G14" s="81"/>
      <c r="H14" s="81"/>
      <c r="I14" s="81"/>
      <c r="J14" s="81"/>
      <c r="K14" s="81"/>
      <c r="L14" s="81"/>
      <c r="M14" s="82"/>
      <c r="Q14" s="28"/>
      <c r="R14" s="28"/>
      <c r="S14" s="28" t="s">
        <v>177</v>
      </c>
      <c r="T14" s="29">
        <f>SUM(tablaFactura[Total])</f>
        <v>0</v>
      </c>
      <c r="U14" s="7"/>
      <c r="V14" s="3"/>
    </row>
    <row r="15" spans="4:22" ht="12" customHeight="1" x14ac:dyDescent="0.25">
      <c r="D15" s="19" t="str">
        <f>IFERROR(IF(ISBLANK(VLOOKUP($G$5,tablaProductos[],5,FALSE)),"",VLOOKUP($G$5,tablaProductos[],5,FALSE)),"")</f>
        <v/>
      </c>
      <c r="Q15" s="28"/>
      <c r="R15" s="28"/>
      <c r="S15" s="28" t="str">
        <f>"IVA("&amp;TEXT($E$18,"00%")&amp;"):"</f>
        <v>IVA(16%):</v>
      </c>
      <c r="T15" s="29">
        <f>T14*$E$18</f>
        <v>0</v>
      </c>
      <c r="U15" s="7"/>
      <c r="V15" s="3"/>
    </row>
    <row r="16" spans="4:22" ht="12" customHeight="1" x14ac:dyDescent="0.25">
      <c r="D16" s="83" t="s">
        <v>167</v>
      </c>
      <c r="E16" s="83"/>
      <c r="F16" s="83"/>
      <c r="G16" s="83"/>
      <c r="H16" s="83"/>
      <c r="I16" s="83"/>
      <c r="J16" s="83"/>
      <c r="K16" s="83"/>
      <c r="L16" s="83"/>
      <c r="M16" s="83"/>
      <c r="Q16" s="28"/>
      <c r="R16" s="28"/>
      <c r="S16" s="23" t="s">
        <v>178</v>
      </c>
      <c r="T16" s="30">
        <f>SUM(T14:T15)</f>
        <v>0</v>
      </c>
      <c r="U16" s="7"/>
      <c r="V16" s="3"/>
    </row>
    <row r="17" spans="4:22" ht="12" customHeight="1" x14ac:dyDescent="0.25">
      <c r="Q17" s="28"/>
      <c r="R17" s="28"/>
      <c r="S17" s="28" t="s">
        <v>179</v>
      </c>
      <c r="T17" s="29">
        <f>$J$19</f>
        <v>0</v>
      </c>
      <c r="U17" s="7"/>
      <c r="V17" s="3"/>
    </row>
    <row r="18" spans="4:22" ht="12" customHeight="1" thickBot="1" x14ac:dyDescent="0.3">
      <c r="D18" s="6" t="s">
        <v>168</v>
      </c>
      <c r="E18" s="37">
        <v>0.16</v>
      </c>
      <c r="J18" s="35" t="s">
        <v>170</v>
      </c>
      <c r="K18" s="33"/>
      <c r="L18" s="34"/>
      <c r="M18" s="33"/>
      <c r="Q18" s="28"/>
      <c r="R18" s="28"/>
      <c r="S18" s="31" t="s">
        <v>180</v>
      </c>
      <c r="T18" s="29">
        <f>T17-T16</f>
        <v>0</v>
      </c>
      <c r="U18" s="7"/>
      <c r="V18" s="3"/>
    </row>
    <row r="19" spans="4:22" ht="12" customHeight="1" x14ac:dyDescent="0.25">
      <c r="I19" s="33"/>
      <c r="J19" s="86"/>
      <c r="K19" s="87"/>
      <c r="L19" s="87"/>
      <c r="M19" s="88"/>
      <c r="N19" s="33"/>
      <c r="Q19" s="28"/>
      <c r="R19" s="28"/>
      <c r="S19" s="28"/>
      <c r="T19" s="28"/>
      <c r="U19" s="7"/>
      <c r="V19" s="3"/>
    </row>
    <row r="20" spans="4:22" ht="12" customHeight="1" thickBot="1" x14ac:dyDescent="0.3">
      <c r="D20" s="6" t="s">
        <v>169</v>
      </c>
      <c r="E20" s="5"/>
      <c r="F20" s="5"/>
      <c r="G20" s="84" t="s">
        <v>221</v>
      </c>
      <c r="H20" s="85"/>
      <c r="I20" s="33"/>
      <c r="J20" s="89"/>
      <c r="K20" s="90"/>
      <c r="L20" s="90"/>
      <c r="M20" s="91"/>
      <c r="N20" s="33"/>
      <c r="Q20" s="53" t="s">
        <v>181</v>
      </c>
      <c r="R20" s="53"/>
      <c r="S20" s="53"/>
      <c r="T20" s="53"/>
      <c r="U20" s="7"/>
      <c r="V20" s="3"/>
    </row>
    <row r="21" spans="4:22" ht="12" customHeight="1" x14ac:dyDescent="0.25">
      <c r="Q21" s="8"/>
      <c r="R21" s="8"/>
      <c r="S21" s="8"/>
      <c r="T21" s="8"/>
      <c r="U21" s="7"/>
      <c r="V21" s="3"/>
    </row>
    <row r="22" spans="4:22" ht="12" customHeight="1" x14ac:dyDescent="0.25">
      <c r="Q22" s="8"/>
      <c r="R22" s="8"/>
      <c r="S22" s="8"/>
      <c r="T22" s="8"/>
      <c r="U22" s="7"/>
      <c r="V22" s="3"/>
    </row>
    <row r="23" spans="4:22" ht="12" customHeight="1" x14ac:dyDescent="0.25">
      <c r="Q23" s="8"/>
      <c r="R23" s="8"/>
      <c r="S23" s="8"/>
      <c r="T23" s="8"/>
      <c r="U23" s="7"/>
      <c r="V23" s="3"/>
    </row>
    <row r="24" spans="4:22" ht="12" customHeight="1" x14ac:dyDescent="0.25">
      <c r="Q24" s="8"/>
      <c r="R24" s="8"/>
      <c r="S24" s="8"/>
      <c r="T24" s="8"/>
      <c r="U24" s="7"/>
      <c r="V24" s="3"/>
    </row>
    <row r="25" spans="4:22" ht="12" customHeight="1" x14ac:dyDescent="0.25">
      <c r="Q25" s="8"/>
      <c r="R25" s="8"/>
      <c r="S25" s="8"/>
      <c r="T25" s="8"/>
      <c r="U25" s="7"/>
      <c r="V25" s="3"/>
    </row>
    <row r="26" spans="4:22" ht="12" customHeight="1" x14ac:dyDescent="0.25">
      <c r="D26" s="6" t="s">
        <v>171</v>
      </c>
      <c r="G26" s="92">
        <f>MAX(TablaRegistroFacturas[Id])+1</f>
        <v>1</v>
      </c>
      <c r="H26" s="93"/>
      <c r="J26" s="6" t="s">
        <v>173</v>
      </c>
      <c r="L26" s="59" t="s">
        <v>270</v>
      </c>
      <c r="M26" s="60"/>
      <c r="Q26" s="8"/>
      <c r="R26" s="8"/>
      <c r="S26" s="8"/>
      <c r="T26" s="8"/>
      <c r="U26" s="7"/>
      <c r="V26" s="3"/>
    </row>
    <row r="27" spans="4:22" ht="12" customHeight="1" x14ac:dyDescent="0.25">
      <c r="Q27" s="8"/>
      <c r="R27" s="8"/>
      <c r="S27" s="8"/>
      <c r="T27" s="8"/>
      <c r="U27" s="7"/>
      <c r="V27" s="3"/>
    </row>
    <row r="28" spans="4:22" ht="12" customHeight="1" x14ac:dyDescent="0.25">
      <c r="D28" s="6" t="s">
        <v>172</v>
      </c>
      <c r="F28" s="56">
        <f ca="1">NOW()</f>
        <v>46040.938712847223</v>
      </c>
      <c r="G28" s="57"/>
      <c r="H28" s="58"/>
      <c r="Q28" s="8"/>
      <c r="R28" s="8"/>
      <c r="S28" s="8"/>
      <c r="T28" s="8"/>
      <c r="U28" s="7"/>
      <c r="V28" s="3"/>
    </row>
    <row r="29" spans="4:22" ht="12" customHeight="1" x14ac:dyDescent="0.25">
      <c r="Q29" s="8"/>
      <c r="R29" s="8"/>
      <c r="S29" s="8"/>
      <c r="T29" s="8"/>
      <c r="U29" s="7"/>
      <c r="V29" s="3"/>
    </row>
    <row r="30" spans="4:22" ht="12" customHeight="1" x14ac:dyDescent="0.25">
      <c r="Q30" s="8"/>
      <c r="R30" s="8"/>
      <c r="S30" s="8"/>
      <c r="T30" s="8"/>
      <c r="U30" s="7"/>
      <c r="V30" s="3"/>
    </row>
    <row r="31" spans="4:22" ht="12" customHeight="1" x14ac:dyDescent="0.25">
      <c r="Q31" s="8"/>
      <c r="R31" s="8"/>
      <c r="S31" s="8"/>
      <c r="T31" s="8"/>
      <c r="U31" s="7"/>
      <c r="V31" s="3"/>
    </row>
    <row r="32" spans="4:22" ht="12" customHeight="1" x14ac:dyDescent="0.25">
      <c r="Q32" s="8"/>
      <c r="R32" s="8"/>
      <c r="S32" s="8"/>
      <c r="T32" s="8"/>
      <c r="U32" s="7"/>
      <c r="V32" s="3"/>
    </row>
    <row r="33" spans="17:22" ht="12" customHeight="1" x14ac:dyDescent="0.25">
      <c r="Q33" s="8"/>
      <c r="R33" s="8"/>
      <c r="S33" s="8"/>
      <c r="T33" s="8"/>
      <c r="U33" s="7"/>
      <c r="V33" s="3"/>
    </row>
    <row r="34" spans="17:22" ht="12" customHeight="1" x14ac:dyDescent="0.25">
      <c r="Q34" s="8"/>
      <c r="R34" s="8"/>
      <c r="S34" s="8"/>
      <c r="T34" s="8"/>
      <c r="U34" s="7"/>
      <c r="V34" s="3"/>
    </row>
    <row r="35" spans="17:22" ht="12" customHeight="1" x14ac:dyDescent="0.25">
      <c r="Q35" s="8"/>
      <c r="R35" s="8"/>
      <c r="S35" s="8"/>
      <c r="T35" s="8"/>
      <c r="U35" s="7"/>
      <c r="V35" s="3"/>
    </row>
    <row r="36" spans="17:22" ht="12" customHeight="1" x14ac:dyDescent="0.25">
      <c r="Q36" s="8"/>
      <c r="R36" s="8"/>
      <c r="S36" s="8"/>
      <c r="T36" s="8"/>
      <c r="U36" s="7"/>
      <c r="V36" s="3"/>
    </row>
    <row r="37" spans="17:22" ht="12" customHeight="1" x14ac:dyDescent="0.25">
      <c r="Q37" s="8"/>
      <c r="R37" s="8"/>
      <c r="S37" s="8"/>
      <c r="T37" s="8"/>
      <c r="U37" s="7"/>
      <c r="V37" s="3"/>
    </row>
    <row r="38" spans="17:22" ht="12" customHeight="1" x14ac:dyDescent="0.25">
      <c r="Q38" s="8"/>
      <c r="R38" s="8"/>
      <c r="S38" s="8"/>
      <c r="T38" s="8"/>
      <c r="U38" s="7"/>
      <c r="V38" s="3"/>
    </row>
    <row r="39" spans="17:22" ht="12" customHeight="1" x14ac:dyDescent="0.25">
      <c r="Q39" s="8"/>
      <c r="R39" s="8"/>
      <c r="S39" s="8"/>
      <c r="T39" s="8"/>
      <c r="U39" s="7"/>
      <c r="V39" s="3"/>
    </row>
    <row r="40" spans="17:22" ht="12" customHeight="1" x14ac:dyDescent="0.25">
      <c r="Q40" s="8"/>
      <c r="R40" s="8"/>
      <c r="S40" s="8"/>
      <c r="T40" s="8"/>
      <c r="U40" s="7"/>
      <c r="V40" s="3"/>
    </row>
    <row r="41" spans="17:22" ht="12" customHeight="1" x14ac:dyDescent="0.25">
      <c r="Q41" s="8"/>
      <c r="R41" s="8"/>
      <c r="S41" s="8"/>
      <c r="T41" s="8"/>
      <c r="U41" s="7"/>
      <c r="V41" s="3"/>
    </row>
    <row r="42" spans="17:22" ht="12" customHeight="1" x14ac:dyDescent="0.25">
      <c r="Q42" s="8"/>
      <c r="R42" s="8"/>
      <c r="S42" s="8"/>
      <c r="T42" s="8"/>
      <c r="U42" s="7"/>
      <c r="V42" s="3"/>
    </row>
    <row r="43" spans="17:22" ht="12" customHeight="1" x14ac:dyDescent="0.25">
      <c r="Q43" s="8"/>
      <c r="R43" s="8"/>
      <c r="S43" s="8"/>
      <c r="T43" s="8"/>
      <c r="U43" s="7"/>
      <c r="V43" s="3"/>
    </row>
    <row r="44" spans="17:22" ht="12" customHeight="1" x14ac:dyDescent="0.25">
      <c r="Q44" s="8"/>
      <c r="R44" s="8"/>
      <c r="S44" s="8"/>
      <c r="T44" s="8"/>
      <c r="U44" s="7"/>
      <c r="V44" s="3"/>
    </row>
    <row r="45" spans="17:22" ht="12" customHeight="1" x14ac:dyDescent="0.25">
      <c r="Q45" s="8"/>
      <c r="R45" s="8"/>
      <c r="S45" s="8"/>
      <c r="T45" s="8"/>
      <c r="U45" s="7"/>
      <c r="V45" s="3"/>
    </row>
    <row r="46" spans="17:22" ht="12" customHeight="1" x14ac:dyDescent="0.25">
      <c r="Q46" s="8"/>
      <c r="R46" s="8"/>
      <c r="S46" s="8"/>
      <c r="T46" s="8"/>
      <c r="U46" s="7"/>
      <c r="V46" s="3"/>
    </row>
    <row r="47" spans="17:22" ht="12" customHeight="1" x14ac:dyDescent="0.25">
      <c r="Q47" s="8"/>
      <c r="R47" s="8"/>
      <c r="S47" s="8"/>
      <c r="T47" s="8"/>
      <c r="U47" s="7"/>
      <c r="V47" s="3"/>
    </row>
    <row r="48" spans="17:22" ht="12" customHeight="1" x14ac:dyDescent="0.25">
      <c r="Q48" s="8"/>
      <c r="R48" s="8"/>
      <c r="S48" s="8"/>
      <c r="T48" s="8"/>
      <c r="U48" s="7"/>
      <c r="V48" s="3"/>
    </row>
    <row r="49" spans="17:22" ht="12" customHeight="1" x14ac:dyDescent="0.25">
      <c r="Q49" s="8"/>
      <c r="R49" s="8"/>
      <c r="S49" s="8"/>
      <c r="T49" s="8"/>
      <c r="U49" s="7"/>
      <c r="V49" s="3"/>
    </row>
    <row r="50" spans="17:22" ht="12" customHeight="1" x14ac:dyDescent="0.25">
      <c r="Q50" s="8"/>
      <c r="R50" s="8"/>
      <c r="S50" s="8"/>
      <c r="T50" s="8"/>
      <c r="U50" s="7"/>
      <c r="V50" s="3"/>
    </row>
    <row r="51" spans="17:22" ht="12" customHeight="1" x14ac:dyDescent="0.25">
      <c r="Q51" s="8"/>
      <c r="R51" s="8"/>
      <c r="S51" s="8"/>
      <c r="T51" s="8"/>
      <c r="U51" s="7"/>
      <c r="V51" s="3"/>
    </row>
    <row r="52" spans="17:22" ht="12" customHeight="1" x14ac:dyDescent="0.25">
      <c r="Q52" s="8"/>
      <c r="R52" s="8"/>
      <c r="S52" s="8"/>
      <c r="T52" s="8"/>
      <c r="U52" s="7"/>
      <c r="V52" s="3"/>
    </row>
    <row r="53" spans="17:22" ht="12" customHeight="1" x14ac:dyDescent="0.25">
      <c r="Q53" s="8"/>
      <c r="R53" s="8"/>
      <c r="S53" s="8"/>
      <c r="T53" s="8"/>
      <c r="U53" s="7"/>
      <c r="V53" s="3"/>
    </row>
    <row r="54" spans="17:22" ht="12" customHeight="1" x14ac:dyDescent="0.25">
      <c r="Q54" s="8"/>
      <c r="R54" s="8"/>
      <c r="S54" s="8"/>
      <c r="T54" s="8"/>
      <c r="U54" s="7"/>
      <c r="V54" s="3"/>
    </row>
    <row r="55" spans="17:22" ht="12" customHeight="1" x14ac:dyDescent="0.25">
      <c r="Q55" s="8"/>
      <c r="R55" s="8"/>
      <c r="S55" s="8"/>
      <c r="T55" s="8"/>
      <c r="U55" s="7"/>
      <c r="V55" s="3"/>
    </row>
    <row r="56" spans="17:22" ht="12" customHeight="1" x14ac:dyDescent="0.25">
      <c r="Q56" s="8"/>
      <c r="R56" s="8"/>
      <c r="S56" s="8"/>
      <c r="T56" s="8"/>
      <c r="U56" s="7"/>
      <c r="V56" s="3"/>
    </row>
    <row r="57" spans="17:22" ht="12" customHeight="1" x14ac:dyDescent="0.25">
      <c r="Q57" s="8"/>
      <c r="R57" s="8"/>
      <c r="S57" s="8"/>
      <c r="T57" s="8"/>
      <c r="U57" s="7"/>
      <c r="V57" s="3"/>
    </row>
    <row r="58" spans="17:22" ht="12" customHeight="1" x14ac:dyDescent="0.25">
      <c r="Q58" s="8"/>
      <c r="R58" s="8"/>
      <c r="S58" s="8"/>
      <c r="T58" s="8"/>
      <c r="U58" s="7"/>
      <c r="V58" s="3"/>
    </row>
    <row r="59" spans="17:22" ht="12" customHeight="1" x14ac:dyDescent="0.25">
      <c r="Q59" s="8"/>
      <c r="R59" s="8"/>
      <c r="S59" s="8"/>
      <c r="T59" s="8"/>
      <c r="U59" s="7"/>
      <c r="V59" s="3"/>
    </row>
    <row r="60" spans="17:22" ht="12" customHeight="1" x14ac:dyDescent="0.25">
      <c r="Q60" s="8"/>
      <c r="R60" s="8"/>
      <c r="S60" s="8"/>
      <c r="T60" s="8"/>
      <c r="U60" s="7"/>
      <c r="V60" s="3"/>
    </row>
    <row r="61" spans="17:22" ht="12" customHeight="1" x14ac:dyDescent="0.25">
      <c r="Q61" s="8"/>
      <c r="R61" s="8"/>
      <c r="S61" s="8"/>
      <c r="T61" s="8"/>
      <c r="U61" s="7"/>
      <c r="V61" s="3"/>
    </row>
    <row r="62" spans="17:22" ht="12" customHeight="1" x14ac:dyDescent="0.25">
      <c r="Q62" s="8"/>
      <c r="R62" s="8"/>
      <c r="S62" s="8"/>
      <c r="T62" s="8"/>
      <c r="U62" s="7"/>
      <c r="V62" s="3"/>
    </row>
    <row r="63" spans="17:22" ht="12" customHeight="1" x14ac:dyDescent="0.25">
      <c r="Q63" s="8"/>
      <c r="R63" s="8"/>
      <c r="S63" s="8"/>
      <c r="T63" s="8"/>
      <c r="U63" s="7"/>
      <c r="V63" s="3"/>
    </row>
    <row r="64" spans="17:22" ht="12" customHeight="1" x14ac:dyDescent="0.25">
      <c r="Q64" s="8"/>
      <c r="R64" s="8"/>
      <c r="S64" s="8"/>
      <c r="T64" s="8"/>
      <c r="U64" s="7"/>
      <c r="V64" s="3"/>
    </row>
    <row r="65" spans="17:22" ht="12" customHeight="1" x14ac:dyDescent="0.25">
      <c r="Q65" s="8"/>
      <c r="R65" s="8"/>
      <c r="S65" s="8"/>
      <c r="T65" s="8"/>
      <c r="U65" s="7"/>
      <c r="V65" s="3"/>
    </row>
    <row r="66" spans="17:22" ht="12" customHeight="1" x14ac:dyDescent="0.25">
      <c r="Q66" s="8"/>
      <c r="R66" s="8"/>
      <c r="S66" s="8"/>
      <c r="T66" s="8"/>
      <c r="U66" s="7"/>
      <c r="V66" s="3"/>
    </row>
    <row r="67" spans="17:22" ht="12" customHeight="1" x14ac:dyDescent="0.25">
      <c r="Q67" s="8"/>
      <c r="R67" s="8"/>
      <c r="S67" s="8"/>
      <c r="T67" s="8"/>
      <c r="U67" s="7"/>
      <c r="V67" s="3"/>
    </row>
    <row r="68" spans="17:22" ht="12" customHeight="1" x14ac:dyDescent="0.25">
      <c r="Q68" s="8"/>
      <c r="R68" s="8"/>
      <c r="S68" s="8"/>
      <c r="T68" s="8"/>
      <c r="U68" s="7"/>
      <c r="V68" s="3"/>
    </row>
    <row r="69" spans="17:22" ht="12" customHeight="1" x14ac:dyDescent="0.25">
      <c r="Q69" s="8"/>
      <c r="R69" s="8"/>
      <c r="S69" s="8"/>
      <c r="T69" s="8"/>
      <c r="U69" s="7"/>
      <c r="V69" s="3"/>
    </row>
    <row r="70" spans="17:22" ht="12" customHeight="1" x14ac:dyDescent="0.25">
      <c r="Q70" s="8"/>
      <c r="R70" s="8"/>
      <c r="S70" s="8"/>
      <c r="T70" s="8"/>
      <c r="U70" s="7"/>
      <c r="V70" s="3"/>
    </row>
    <row r="71" spans="17:22" ht="12" customHeight="1" x14ac:dyDescent="0.25">
      <c r="Q71" s="8"/>
      <c r="R71" s="8"/>
      <c r="S71" s="8"/>
      <c r="T71" s="8"/>
      <c r="U71" s="7"/>
      <c r="V71" s="3"/>
    </row>
    <row r="72" spans="17:22" ht="12" customHeight="1" x14ac:dyDescent="0.25">
      <c r="Q72" s="8"/>
      <c r="R72" s="8"/>
      <c r="S72" s="8"/>
      <c r="T72" s="8"/>
      <c r="U72" s="7"/>
      <c r="V72" s="3"/>
    </row>
    <row r="73" spans="17:22" ht="12" customHeight="1" x14ac:dyDescent="0.25">
      <c r="Q73" s="8"/>
      <c r="R73" s="8"/>
      <c r="S73" s="8"/>
      <c r="T73" s="8"/>
      <c r="U73" s="7"/>
      <c r="V73" s="3"/>
    </row>
    <row r="74" spans="17:22" ht="12" customHeight="1" x14ac:dyDescent="0.25">
      <c r="Q74" s="8"/>
      <c r="R74" s="8"/>
      <c r="S74" s="8"/>
      <c r="T74" s="8"/>
      <c r="U74" s="7"/>
      <c r="V74" s="3"/>
    </row>
    <row r="75" spans="17:22" ht="12" customHeight="1" x14ac:dyDescent="0.25">
      <c r="Q75" s="8"/>
      <c r="R75" s="8"/>
      <c r="S75" s="8"/>
      <c r="T75" s="8"/>
      <c r="U75" s="7"/>
      <c r="V75" s="3"/>
    </row>
    <row r="76" spans="17:22" ht="12" customHeight="1" x14ac:dyDescent="0.25">
      <c r="Q76" s="8"/>
      <c r="R76" s="8"/>
      <c r="S76" s="8"/>
      <c r="T76" s="8"/>
      <c r="U76" s="7"/>
      <c r="V76" s="3"/>
    </row>
    <row r="77" spans="17:22" ht="12" customHeight="1" x14ac:dyDescent="0.25">
      <c r="Q77" s="8"/>
      <c r="R77" s="8"/>
      <c r="S77" s="8"/>
      <c r="T77" s="8"/>
      <c r="U77" s="7"/>
      <c r="V77" s="3"/>
    </row>
    <row r="78" spans="17:22" ht="12" customHeight="1" x14ac:dyDescent="0.25">
      <c r="Q78" s="8"/>
      <c r="R78" s="8"/>
      <c r="S78" s="8"/>
      <c r="T78" s="8"/>
      <c r="U78" s="7"/>
      <c r="V78" s="3"/>
    </row>
    <row r="79" spans="17:22" ht="12" customHeight="1" x14ac:dyDescent="0.25">
      <c r="Q79" s="8"/>
      <c r="R79" s="8"/>
      <c r="S79" s="8"/>
      <c r="T79" s="8"/>
      <c r="U79" s="7"/>
      <c r="V79" s="3"/>
    </row>
    <row r="80" spans="17:22" ht="12" customHeight="1" x14ac:dyDescent="0.25">
      <c r="Q80" s="8"/>
      <c r="R80" s="8"/>
      <c r="S80" s="8"/>
      <c r="T80" s="8"/>
      <c r="U80" s="7"/>
      <c r="V80" s="3"/>
    </row>
    <row r="81" spans="17:22" ht="12" customHeight="1" x14ac:dyDescent="0.25">
      <c r="Q81" s="8"/>
      <c r="R81" s="8"/>
      <c r="S81" s="8"/>
      <c r="T81" s="8"/>
      <c r="U81" s="7"/>
      <c r="V81" s="3"/>
    </row>
    <row r="82" spans="17:22" ht="12" customHeight="1" x14ac:dyDescent="0.25">
      <c r="Q82" s="8"/>
      <c r="R82" s="8"/>
      <c r="S82" s="8"/>
      <c r="T82" s="8"/>
      <c r="U82" s="7"/>
      <c r="V82" s="3"/>
    </row>
    <row r="83" spans="17:22" ht="12" customHeight="1" x14ac:dyDescent="0.25">
      <c r="Q83" s="8"/>
      <c r="R83" s="8"/>
      <c r="S83" s="8"/>
      <c r="T83" s="8"/>
      <c r="U83" s="7"/>
      <c r="V83" s="3"/>
    </row>
    <row r="84" spans="17:22" ht="12" customHeight="1" x14ac:dyDescent="0.25">
      <c r="Q84" s="8"/>
      <c r="R84" s="8"/>
      <c r="S84" s="8"/>
      <c r="T84" s="8"/>
      <c r="U84" s="7"/>
      <c r="V84" s="3"/>
    </row>
    <row r="85" spans="17:22" ht="12" customHeight="1" x14ac:dyDescent="0.25">
      <c r="Q85" s="8"/>
      <c r="R85" s="8"/>
      <c r="S85" s="8"/>
      <c r="T85" s="8"/>
      <c r="U85" s="7"/>
      <c r="V85" s="3"/>
    </row>
    <row r="86" spans="17:22" ht="12" customHeight="1" x14ac:dyDescent="0.25">
      <c r="Q86" s="8"/>
      <c r="R86" s="8"/>
      <c r="S86" s="8"/>
      <c r="T86" s="8"/>
      <c r="U86" s="7"/>
      <c r="V86" s="3"/>
    </row>
    <row r="87" spans="17:22" ht="12" customHeight="1" x14ac:dyDescent="0.25">
      <c r="Q87" s="8"/>
      <c r="R87" s="8"/>
      <c r="S87" s="8"/>
      <c r="T87" s="8"/>
      <c r="U87" s="7"/>
      <c r="V87" s="3"/>
    </row>
    <row r="88" spans="17:22" ht="12" customHeight="1" x14ac:dyDescent="0.25">
      <c r="Q88" s="8"/>
      <c r="R88" s="8"/>
      <c r="S88" s="8"/>
      <c r="T88" s="8"/>
      <c r="U88" s="7"/>
      <c r="V88" s="3"/>
    </row>
    <row r="89" spans="17:22" ht="12" customHeight="1" x14ac:dyDescent="0.25">
      <c r="Q89" s="8"/>
      <c r="R89" s="8"/>
      <c r="S89" s="8"/>
      <c r="T89" s="8"/>
      <c r="U89" s="7"/>
      <c r="V89" s="3"/>
    </row>
    <row r="90" spans="17:22" ht="12" customHeight="1" x14ac:dyDescent="0.25">
      <c r="Q90" s="8"/>
      <c r="R90" s="8"/>
      <c r="S90" s="8"/>
      <c r="T90" s="8"/>
      <c r="U90" s="7"/>
      <c r="V90" s="3"/>
    </row>
    <row r="91" spans="17:22" ht="12" customHeight="1" x14ac:dyDescent="0.25">
      <c r="Q91" s="8"/>
      <c r="R91" s="8"/>
      <c r="S91" s="8"/>
      <c r="T91" s="8"/>
      <c r="U91" s="7"/>
      <c r="V91" s="3"/>
    </row>
    <row r="92" spans="17:22" ht="12" customHeight="1" x14ac:dyDescent="0.25">
      <c r="Q92" s="8"/>
      <c r="R92" s="8"/>
      <c r="S92" s="8"/>
      <c r="T92" s="8"/>
      <c r="U92" s="7"/>
      <c r="V92" s="3"/>
    </row>
    <row r="93" spans="17:22" ht="12" customHeight="1" x14ac:dyDescent="0.25">
      <c r="Q93" s="8"/>
      <c r="R93" s="8"/>
      <c r="S93" s="8"/>
      <c r="T93" s="8"/>
      <c r="U93" s="7"/>
      <c r="V93" s="3"/>
    </row>
    <row r="94" spans="17:22" ht="12" customHeight="1" x14ac:dyDescent="0.25">
      <c r="Q94" s="8"/>
      <c r="R94" s="8"/>
      <c r="S94" s="8"/>
      <c r="T94" s="8"/>
      <c r="U94" s="7"/>
      <c r="V94" s="3"/>
    </row>
    <row r="95" spans="17:22" ht="12" customHeight="1" x14ac:dyDescent="0.25">
      <c r="Q95" s="8"/>
      <c r="R95" s="8"/>
      <c r="S95" s="8"/>
      <c r="T95" s="8"/>
      <c r="U95" s="7"/>
      <c r="V95" s="3"/>
    </row>
    <row r="96" spans="17:22" ht="12" customHeight="1" x14ac:dyDescent="0.25">
      <c r="Q96" s="8"/>
      <c r="R96" s="8"/>
      <c r="S96" s="8"/>
      <c r="T96" s="8"/>
      <c r="U96" s="7"/>
      <c r="V96" s="3"/>
    </row>
    <row r="97" spans="17:22" ht="12" customHeight="1" x14ac:dyDescent="0.25">
      <c r="Q97" s="8"/>
      <c r="R97" s="8"/>
      <c r="S97" s="8"/>
      <c r="T97" s="8"/>
      <c r="U97" s="7"/>
      <c r="V97" s="3"/>
    </row>
    <row r="98" spans="17:22" ht="12" customHeight="1" x14ac:dyDescent="0.25">
      <c r="Q98" s="8"/>
      <c r="R98" s="8"/>
      <c r="S98" s="8"/>
      <c r="T98" s="8"/>
      <c r="U98" s="7"/>
      <c r="V98" s="3"/>
    </row>
    <row r="99" spans="17:22" ht="12" customHeight="1" x14ac:dyDescent="0.25">
      <c r="Q99" s="8"/>
      <c r="R99" s="8"/>
      <c r="S99" s="8"/>
      <c r="T99" s="8"/>
      <c r="U99" s="7"/>
      <c r="V99" s="3"/>
    </row>
    <row r="100" spans="17:22" ht="12" customHeight="1" x14ac:dyDescent="0.25">
      <c r="Q100" s="8"/>
      <c r="R100" s="8"/>
      <c r="S100" s="8"/>
      <c r="T100" s="8"/>
      <c r="U100" s="7"/>
      <c r="V100" s="3"/>
    </row>
  </sheetData>
  <mergeCells count="27">
    <mergeCell ref="Q9:T10"/>
    <mergeCell ref="Q20:T20"/>
    <mergeCell ref="F28:H28"/>
    <mergeCell ref="L26:M26"/>
    <mergeCell ref="D1:M3"/>
    <mergeCell ref="D5:F6"/>
    <mergeCell ref="G5:H6"/>
    <mergeCell ref="J5:M12"/>
    <mergeCell ref="D9:E9"/>
    <mergeCell ref="G9:H9"/>
    <mergeCell ref="D12:H12"/>
    <mergeCell ref="F14:M14"/>
    <mergeCell ref="D16:M16"/>
    <mergeCell ref="G20:H20"/>
    <mergeCell ref="J19:M20"/>
    <mergeCell ref="G26:H26"/>
    <mergeCell ref="D8:E8"/>
    <mergeCell ref="G8:H8"/>
    <mergeCell ref="Q8:R8"/>
    <mergeCell ref="S8:T8"/>
    <mergeCell ref="Q2:T2"/>
    <mergeCell ref="Q3:T3"/>
    <mergeCell ref="Q7:R7"/>
    <mergeCell ref="S7:T7"/>
    <mergeCell ref="Q4:T4"/>
    <mergeCell ref="Q6:T6"/>
    <mergeCell ref="Q5:T5"/>
  </mergeCells>
  <dataValidations count="1">
    <dataValidation type="list" allowBlank="1" showInputMessage="1" showErrorMessage="1" sqref="L26:M26">
      <formula1>nombreFacturadores</formula1>
    </dataValidation>
  </dataValidations>
  <pageMargins left="0.25" right="0.25" top="0.25" bottom="0.25" header="0.25" footer="0.25"/>
  <pageSetup paperSize="122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/>
  </sheetPr>
  <dimension ref="A1:J93"/>
  <sheetViews>
    <sheetView zoomScaleNormal="100" workbookViewId="0">
      <selection activeCell="J5" sqref="J5"/>
    </sheetView>
  </sheetViews>
  <sheetFormatPr baseColWidth="10" defaultRowHeight="15" x14ac:dyDescent="0.25"/>
  <cols>
    <col min="1" max="1" width="18.140625" style="5" customWidth="1"/>
    <col min="2" max="2" width="30.7109375" style="5" customWidth="1"/>
    <col min="3" max="3" width="31.5703125" style="5" customWidth="1"/>
    <col min="4" max="4" width="11.42578125" style="5"/>
    <col min="5" max="5" width="28.5703125" style="5" customWidth="1"/>
    <col min="6" max="6" width="5.7109375" style="5" customWidth="1"/>
    <col min="7" max="7" width="11.42578125" style="5"/>
    <col min="8" max="8" width="11.85546875" style="5" bestFit="1" customWidth="1"/>
    <col min="9" max="9" width="5.7109375" style="5" customWidth="1"/>
    <col min="10" max="10" width="11.42578125" style="5" customWidth="1"/>
    <col min="11" max="16384" width="11.42578125" style="5"/>
  </cols>
  <sheetData>
    <row r="1" spans="1:10" x14ac:dyDescent="0.25">
      <c r="A1" s="94" t="s">
        <v>159</v>
      </c>
      <c r="B1" s="94"/>
      <c r="C1" s="94"/>
      <c r="D1" s="94"/>
      <c r="E1" s="94"/>
      <c r="G1" s="94" t="s">
        <v>158</v>
      </c>
      <c r="H1" s="94"/>
      <c r="J1" s="16" t="s">
        <v>160</v>
      </c>
    </row>
    <row r="2" spans="1:10" x14ac:dyDescent="0.25">
      <c r="A2" s="9" t="s">
        <v>183</v>
      </c>
      <c r="B2" s="9" t="s">
        <v>0</v>
      </c>
      <c r="C2" s="9" t="s">
        <v>1</v>
      </c>
      <c r="D2" s="10" t="s">
        <v>2</v>
      </c>
      <c r="E2" s="9" t="s">
        <v>3</v>
      </c>
      <c r="G2" s="17" t="s">
        <v>183</v>
      </c>
      <c r="H2" s="17" t="s">
        <v>184</v>
      </c>
      <c r="J2" s="9" t="s">
        <v>0</v>
      </c>
    </row>
    <row r="3" spans="1:10" x14ac:dyDescent="0.25">
      <c r="A3" s="11" t="s">
        <v>4</v>
      </c>
      <c r="B3" s="11" t="s">
        <v>87</v>
      </c>
      <c r="C3" s="11" t="s">
        <v>162</v>
      </c>
      <c r="D3" s="12">
        <v>6</v>
      </c>
      <c r="E3" s="13" t="s">
        <v>208</v>
      </c>
      <c r="G3" s="5">
        <v>0</v>
      </c>
      <c r="H3" s="5" t="str">
        <f>"FAC"&amp;TEXT(G3,"0000")</f>
        <v>FAC0000</v>
      </c>
      <c r="J3" s="11" t="s">
        <v>270</v>
      </c>
    </row>
    <row r="4" spans="1:10" x14ac:dyDescent="0.25">
      <c r="A4" s="5" t="s">
        <v>5</v>
      </c>
      <c r="B4" s="5" t="s">
        <v>88</v>
      </c>
      <c r="C4" s="5" t="s">
        <v>162</v>
      </c>
      <c r="D4" s="14">
        <v>8</v>
      </c>
      <c r="E4" s="15" t="s">
        <v>208</v>
      </c>
      <c r="G4" s="32"/>
      <c r="H4" s="32"/>
      <c r="J4" s="5" t="s">
        <v>161</v>
      </c>
    </row>
    <row r="5" spans="1:10" x14ac:dyDescent="0.25">
      <c r="A5" s="5" t="s">
        <v>6</v>
      </c>
      <c r="B5" s="5" t="s">
        <v>89</v>
      </c>
      <c r="C5" s="5" t="s">
        <v>162</v>
      </c>
      <c r="D5" s="14">
        <v>6.6</v>
      </c>
      <c r="E5" s="15" t="s">
        <v>213</v>
      </c>
      <c r="G5" s="32"/>
      <c r="H5" s="32"/>
    </row>
    <row r="6" spans="1:10" x14ac:dyDescent="0.25">
      <c r="A6" s="5" t="s">
        <v>7</v>
      </c>
      <c r="B6" s="5" t="s">
        <v>90</v>
      </c>
      <c r="C6" s="5" t="s">
        <v>162</v>
      </c>
      <c r="D6" s="14">
        <v>11</v>
      </c>
      <c r="E6" s="15" t="s">
        <v>213</v>
      </c>
      <c r="G6" s="32"/>
      <c r="H6" s="32"/>
    </row>
    <row r="7" spans="1:10" x14ac:dyDescent="0.25">
      <c r="A7" s="5" t="s">
        <v>8</v>
      </c>
      <c r="B7" s="5" t="s">
        <v>91</v>
      </c>
      <c r="C7" s="5" t="s">
        <v>162</v>
      </c>
      <c r="D7" s="14">
        <v>6</v>
      </c>
      <c r="E7" s="15" t="s">
        <v>214</v>
      </c>
      <c r="G7" s="32"/>
      <c r="H7" s="32"/>
    </row>
    <row r="8" spans="1:10" x14ac:dyDescent="0.25">
      <c r="A8" s="5" t="s">
        <v>9</v>
      </c>
      <c r="B8" s="5" t="s">
        <v>92</v>
      </c>
      <c r="C8" s="5" t="s">
        <v>162</v>
      </c>
      <c r="D8" s="14">
        <v>10</v>
      </c>
      <c r="E8" s="15" t="s">
        <v>214</v>
      </c>
      <c r="G8" s="32"/>
      <c r="H8" s="32"/>
    </row>
    <row r="9" spans="1:10" x14ac:dyDescent="0.25">
      <c r="A9" s="5" t="s">
        <v>10</v>
      </c>
      <c r="B9" s="5" t="s">
        <v>93</v>
      </c>
      <c r="C9" s="5" t="s">
        <v>162</v>
      </c>
      <c r="D9" s="14">
        <v>6</v>
      </c>
      <c r="E9" s="15" t="s">
        <v>215</v>
      </c>
      <c r="G9" s="32"/>
      <c r="H9" s="32"/>
    </row>
    <row r="10" spans="1:10" x14ac:dyDescent="0.25">
      <c r="A10" s="5" t="s">
        <v>11</v>
      </c>
      <c r="B10" s="5" t="s">
        <v>94</v>
      </c>
      <c r="C10" s="5" t="s">
        <v>162</v>
      </c>
      <c r="D10" s="14">
        <v>11</v>
      </c>
      <c r="E10" s="15" t="s">
        <v>215</v>
      </c>
      <c r="G10" s="32"/>
      <c r="H10" s="32"/>
    </row>
    <row r="11" spans="1:10" x14ac:dyDescent="0.25">
      <c r="A11" s="5" t="s">
        <v>12</v>
      </c>
      <c r="B11" s="5" t="s">
        <v>95</v>
      </c>
      <c r="C11" s="5" t="s">
        <v>162</v>
      </c>
      <c r="D11" s="14">
        <v>8</v>
      </c>
      <c r="E11" s="15" t="s">
        <v>216</v>
      </c>
      <c r="G11" s="32"/>
      <c r="H11" s="32"/>
    </row>
    <row r="12" spans="1:10" x14ac:dyDescent="0.25">
      <c r="A12" s="5" t="s">
        <v>13</v>
      </c>
      <c r="B12" s="5" t="s">
        <v>96</v>
      </c>
      <c r="C12" s="5" t="s">
        <v>162</v>
      </c>
      <c r="D12" s="14">
        <v>12</v>
      </c>
      <c r="E12" s="15" t="s">
        <v>216</v>
      </c>
      <c r="G12" s="32"/>
      <c r="H12" s="32"/>
    </row>
    <row r="13" spans="1:10" x14ac:dyDescent="0.25">
      <c r="A13" s="5" t="s">
        <v>14</v>
      </c>
      <c r="B13" s="5" t="s">
        <v>97</v>
      </c>
      <c r="C13" s="5" t="s">
        <v>162</v>
      </c>
      <c r="D13" s="14">
        <v>10</v>
      </c>
      <c r="E13" s="15" t="s">
        <v>209</v>
      </c>
    </row>
    <row r="14" spans="1:10" x14ac:dyDescent="0.25">
      <c r="A14" s="5" t="s">
        <v>15</v>
      </c>
      <c r="B14" s="5" t="s">
        <v>98</v>
      </c>
      <c r="C14" s="5" t="s">
        <v>162</v>
      </c>
      <c r="D14" s="14">
        <v>16</v>
      </c>
      <c r="E14" s="15" t="s">
        <v>209</v>
      </c>
    </row>
    <row r="15" spans="1:10" x14ac:dyDescent="0.25">
      <c r="A15" s="5" t="s">
        <v>16</v>
      </c>
      <c r="B15" s="5" t="s">
        <v>99</v>
      </c>
      <c r="C15" s="5" t="s">
        <v>162</v>
      </c>
      <c r="D15" s="14">
        <v>9</v>
      </c>
      <c r="E15" s="15" t="s">
        <v>210</v>
      </c>
    </row>
    <row r="16" spans="1:10" x14ac:dyDescent="0.25">
      <c r="A16" s="5" t="s">
        <v>17</v>
      </c>
      <c r="B16" s="5" t="s">
        <v>100</v>
      </c>
      <c r="C16" s="5" t="s">
        <v>162</v>
      </c>
      <c r="D16" s="14">
        <v>17</v>
      </c>
      <c r="E16" s="15" t="s">
        <v>210</v>
      </c>
    </row>
    <row r="17" spans="1:8" x14ac:dyDescent="0.25">
      <c r="A17" s="5" t="s">
        <v>18</v>
      </c>
      <c r="B17" s="5" t="s">
        <v>101</v>
      </c>
      <c r="C17" s="5" t="s">
        <v>162</v>
      </c>
      <c r="D17" s="14">
        <v>9</v>
      </c>
      <c r="E17" s="15" t="s">
        <v>217</v>
      </c>
    </row>
    <row r="18" spans="1:8" x14ac:dyDescent="0.25">
      <c r="A18" s="5" t="s">
        <v>19</v>
      </c>
      <c r="B18" s="5" t="s">
        <v>102</v>
      </c>
      <c r="C18" s="5" t="s">
        <v>162</v>
      </c>
      <c r="D18" s="14">
        <v>16</v>
      </c>
      <c r="E18" s="15" t="s">
        <v>217</v>
      </c>
    </row>
    <row r="19" spans="1:8" x14ac:dyDescent="0.25">
      <c r="A19" s="5" t="s">
        <v>20</v>
      </c>
      <c r="B19" s="5" t="s">
        <v>103</v>
      </c>
      <c r="C19" s="5" t="s">
        <v>162</v>
      </c>
      <c r="D19" s="14">
        <v>9</v>
      </c>
      <c r="E19" s="15" t="s">
        <v>211</v>
      </c>
    </row>
    <row r="20" spans="1:8" x14ac:dyDescent="0.25">
      <c r="A20" s="5" t="s">
        <v>21</v>
      </c>
      <c r="B20" s="5" t="s">
        <v>104</v>
      </c>
      <c r="C20" s="5" t="s">
        <v>162</v>
      </c>
      <c r="D20" s="14">
        <v>15</v>
      </c>
      <c r="E20" s="15" t="s">
        <v>211</v>
      </c>
    </row>
    <row r="21" spans="1:8" x14ac:dyDescent="0.25">
      <c r="A21" s="5" t="s">
        <v>22</v>
      </c>
      <c r="B21" s="5" t="s">
        <v>105</v>
      </c>
      <c r="C21" s="5" t="s">
        <v>162</v>
      </c>
      <c r="D21" s="14">
        <v>7</v>
      </c>
      <c r="E21" s="15" t="s">
        <v>212</v>
      </c>
    </row>
    <row r="22" spans="1:8" x14ac:dyDescent="0.25">
      <c r="A22" s="5" t="s">
        <v>23</v>
      </c>
      <c r="B22" s="5" t="s">
        <v>106</v>
      </c>
      <c r="C22" s="5" t="s">
        <v>162</v>
      </c>
      <c r="D22" s="14">
        <v>12</v>
      </c>
      <c r="E22" s="15" t="s">
        <v>212</v>
      </c>
    </row>
    <row r="23" spans="1:8" x14ac:dyDescent="0.25">
      <c r="A23" s="5" t="s">
        <v>24</v>
      </c>
      <c r="B23" s="5" t="s">
        <v>107</v>
      </c>
      <c r="C23" s="5" t="s">
        <v>162</v>
      </c>
      <c r="D23" s="14">
        <v>8</v>
      </c>
      <c r="E23" s="15" t="s">
        <v>218</v>
      </c>
    </row>
    <row r="24" spans="1:8" x14ac:dyDescent="0.25">
      <c r="A24" s="5" t="s">
        <v>25</v>
      </c>
      <c r="B24" s="5" t="s">
        <v>108</v>
      </c>
      <c r="C24" s="5" t="s">
        <v>162</v>
      </c>
      <c r="D24" s="14">
        <v>15</v>
      </c>
      <c r="E24" s="15" t="s">
        <v>218</v>
      </c>
    </row>
    <row r="25" spans="1:8" x14ac:dyDescent="0.25">
      <c r="A25" s="5" t="s">
        <v>26</v>
      </c>
      <c r="B25" s="5" t="s">
        <v>269</v>
      </c>
      <c r="C25" s="5" t="s">
        <v>162</v>
      </c>
      <c r="D25" s="14">
        <v>12</v>
      </c>
      <c r="E25" s="15"/>
      <c r="G25" s="32"/>
      <c r="H25" s="32"/>
    </row>
    <row r="26" spans="1:8" x14ac:dyDescent="0.25">
      <c r="A26" s="5" t="s">
        <v>27</v>
      </c>
      <c r="B26" s="5" t="s">
        <v>268</v>
      </c>
      <c r="C26" s="5" t="s">
        <v>162</v>
      </c>
      <c r="D26" s="14">
        <v>21</v>
      </c>
      <c r="E26" s="15"/>
      <c r="G26" s="32"/>
      <c r="H26" s="32"/>
    </row>
    <row r="27" spans="1:8" x14ac:dyDescent="0.25">
      <c r="A27" s="5" t="s">
        <v>28</v>
      </c>
      <c r="B27" s="5" t="s">
        <v>109</v>
      </c>
      <c r="C27" s="5" t="s">
        <v>162</v>
      </c>
      <c r="D27" s="14">
        <v>10</v>
      </c>
      <c r="E27" s="15" t="s">
        <v>219</v>
      </c>
      <c r="G27" s="32"/>
      <c r="H27" s="32"/>
    </row>
    <row r="28" spans="1:8" x14ac:dyDescent="0.25">
      <c r="A28" s="5" t="s">
        <v>29</v>
      </c>
      <c r="B28" s="5" t="s">
        <v>110</v>
      </c>
      <c r="C28" s="5" t="s">
        <v>162</v>
      </c>
      <c r="D28" s="14">
        <v>19</v>
      </c>
      <c r="E28" s="15" t="s">
        <v>219</v>
      </c>
    </row>
    <row r="29" spans="1:8" x14ac:dyDescent="0.25">
      <c r="A29" s="5" t="s">
        <v>30</v>
      </c>
      <c r="B29" s="5" t="s">
        <v>111</v>
      </c>
      <c r="C29" s="5" t="s">
        <v>162</v>
      </c>
      <c r="D29" s="14">
        <v>10</v>
      </c>
      <c r="E29" s="15" t="s">
        <v>220</v>
      </c>
    </row>
    <row r="30" spans="1:8" x14ac:dyDescent="0.25">
      <c r="A30" s="5" t="s">
        <v>31</v>
      </c>
      <c r="B30" s="5" t="s">
        <v>112</v>
      </c>
      <c r="C30" s="5" t="s">
        <v>162</v>
      </c>
      <c r="D30" s="14">
        <v>19</v>
      </c>
      <c r="E30" s="15" t="s">
        <v>220</v>
      </c>
    </row>
    <row r="31" spans="1:8" x14ac:dyDescent="0.25">
      <c r="A31" s="5" t="s">
        <v>32</v>
      </c>
      <c r="B31" s="5" t="s">
        <v>113</v>
      </c>
      <c r="C31" s="5" t="s">
        <v>162</v>
      </c>
      <c r="D31" s="14">
        <v>9</v>
      </c>
      <c r="E31" s="15" t="s">
        <v>227</v>
      </c>
    </row>
    <row r="32" spans="1:8" x14ac:dyDescent="0.25">
      <c r="A32" s="5" t="s">
        <v>33</v>
      </c>
      <c r="B32" s="5" t="s">
        <v>114</v>
      </c>
      <c r="C32" s="5" t="s">
        <v>162</v>
      </c>
      <c r="D32" s="14">
        <v>17</v>
      </c>
      <c r="E32" s="15" t="s">
        <v>227</v>
      </c>
      <c r="G32" s="32"/>
      <c r="H32" s="32"/>
    </row>
    <row r="33" spans="1:5" x14ac:dyDescent="0.25">
      <c r="A33" s="5" t="s">
        <v>34</v>
      </c>
      <c r="B33" s="5" t="s">
        <v>115</v>
      </c>
      <c r="C33" s="5" t="s">
        <v>162</v>
      </c>
      <c r="D33" s="14">
        <v>13</v>
      </c>
      <c r="E33" s="15" t="s">
        <v>228</v>
      </c>
    </row>
    <row r="34" spans="1:5" x14ac:dyDescent="0.25">
      <c r="A34" s="5" t="s">
        <v>35</v>
      </c>
      <c r="B34" s="5" t="s">
        <v>116</v>
      </c>
      <c r="C34" s="5" t="s">
        <v>162</v>
      </c>
      <c r="D34" s="14">
        <v>7.5</v>
      </c>
      <c r="E34" s="15" t="s">
        <v>229</v>
      </c>
    </row>
    <row r="35" spans="1:5" x14ac:dyDescent="0.25">
      <c r="A35" s="5" t="s">
        <v>36</v>
      </c>
      <c r="B35" s="5" t="s">
        <v>117</v>
      </c>
      <c r="C35" s="5" t="s">
        <v>162</v>
      </c>
      <c r="D35" s="14">
        <v>14</v>
      </c>
      <c r="E35" s="15" t="s">
        <v>229</v>
      </c>
    </row>
    <row r="36" spans="1:5" x14ac:dyDescent="0.25">
      <c r="A36" s="5" t="s">
        <v>37</v>
      </c>
      <c r="B36" s="5" t="s">
        <v>118</v>
      </c>
      <c r="C36" s="5" t="s">
        <v>162</v>
      </c>
      <c r="D36" s="14">
        <v>25</v>
      </c>
      <c r="E36" s="15" t="s">
        <v>229</v>
      </c>
    </row>
    <row r="37" spans="1:5" x14ac:dyDescent="0.25">
      <c r="A37" s="5" t="s">
        <v>38</v>
      </c>
      <c r="B37" s="5" t="s">
        <v>119</v>
      </c>
      <c r="C37" s="5" t="s">
        <v>162</v>
      </c>
      <c r="D37" s="14">
        <v>50</v>
      </c>
      <c r="E37" s="15" t="s">
        <v>229</v>
      </c>
    </row>
    <row r="38" spans="1:5" x14ac:dyDescent="0.25">
      <c r="A38" s="5" t="s">
        <v>39</v>
      </c>
      <c r="B38" s="5" t="s">
        <v>120</v>
      </c>
      <c r="C38" s="5" t="s">
        <v>162</v>
      </c>
      <c r="D38" s="14">
        <v>12</v>
      </c>
      <c r="E38" s="15" t="s">
        <v>230</v>
      </c>
    </row>
    <row r="39" spans="1:5" x14ac:dyDescent="0.25">
      <c r="A39" s="5" t="s">
        <v>40</v>
      </c>
      <c r="B39" s="5" t="s">
        <v>121</v>
      </c>
      <c r="C39" s="5" t="s">
        <v>162</v>
      </c>
      <c r="D39" s="14">
        <v>18</v>
      </c>
      <c r="E39" s="15" t="s">
        <v>230</v>
      </c>
    </row>
    <row r="40" spans="1:5" x14ac:dyDescent="0.25">
      <c r="A40" s="5" t="s">
        <v>41</v>
      </c>
      <c r="B40" s="5" t="s">
        <v>122</v>
      </c>
      <c r="C40" s="5" t="s">
        <v>162</v>
      </c>
      <c r="D40" s="14">
        <v>26</v>
      </c>
      <c r="E40" s="15" t="s">
        <v>230</v>
      </c>
    </row>
    <row r="41" spans="1:5" x14ac:dyDescent="0.25">
      <c r="A41" s="5" t="s">
        <v>42</v>
      </c>
      <c r="B41" s="5" t="s">
        <v>123</v>
      </c>
      <c r="C41" s="5" t="s">
        <v>162</v>
      </c>
      <c r="D41" s="14">
        <v>5</v>
      </c>
      <c r="E41" s="15" t="s">
        <v>231</v>
      </c>
    </row>
    <row r="42" spans="1:5" x14ac:dyDescent="0.25">
      <c r="A42" s="5" t="s">
        <v>43</v>
      </c>
      <c r="B42" s="5" t="s">
        <v>124</v>
      </c>
      <c r="C42" s="5" t="s">
        <v>162</v>
      </c>
      <c r="D42" s="14">
        <v>12</v>
      </c>
      <c r="E42" s="15" t="s">
        <v>232</v>
      </c>
    </row>
    <row r="43" spans="1:5" x14ac:dyDescent="0.25">
      <c r="A43" s="5" t="s">
        <v>44</v>
      </c>
      <c r="B43" s="5" t="s">
        <v>125</v>
      </c>
      <c r="C43" s="5" t="s">
        <v>162</v>
      </c>
      <c r="D43" s="14">
        <v>2</v>
      </c>
      <c r="E43" s="15" t="s">
        <v>233</v>
      </c>
    </row>
    <row r="44" spans="1:5" x14ac:dyDescent="0.25">
      <c r="A44" s="5" t="s">
        <v>45</v>
      </c>
      <c r="B44" s="5" t="s">
        <v>126</v>
      </c>
      <c r="C44" s="5" t="s">
        <v>162</v>
      </c>
      <c r="D44" s="14">
        <v>2</v>
      </c>
      <c r="E44" s="15" t="s">
        <v>234</v>
      </c>
    </row>
    <row r="45" spans="1:5" x14ac:dyDescent="0.25">
      <c r="A45" s="5" t="s">
        <v>46</v>
      </c>
      <c r="B45" s="5" t="s">
        <v>127</v>
      </c>
      <c r="C45" s="5" t="s">
        <v>162</v>
      </c>
      <c r="D45" s="14">
        <v>2</v>
      </c>
      <c r="E45" s="15" t="s">
        <v>235</v>
      </c>
    </row>
    <row r="46" spans="1:5" x14ac:dyDescent="0.25">
      <c r="A46" s="5" t="s">
        <v>47</v>
      </c>
      <c r="B46" s="5" t="s">
        <v>128</v>
      </c>
      <c r="C46" s="5" t="s">
        <v>162</v>
      </c>
      <c r="D46" s="14">
        <v>2</v>
      </c>
      <c r="E46" s="15" t="s">
        <v>236</v>
      </c>
    </row>
    <row r="47" spans="1:5" x14ac:dyDescent="0.25">
      <c r="A47" s="5" t="s">
        <v>48</v>
      </c>
      <c r="B47" s="5" t="s">
        <v>129</v>
      </c>
      <c r="C47" s="5" t="s">
        <v>162</v>
      </c>
      <c r="D47" s="14">
        <v>2</v>
      </c>
      <c r="E47" s="15" t="s">
        <v>237</v>
      </c>
    </row>
    <row r="48" spans="1:5" x14ac:dyDescent="0.25">
      <c r="A48" s="5" t="s">
        <v>49</v>
      </c>
      <c r="B48" s="5" t="s">
        <v>130</v>
      </c>
      <c r="C48" s="5" t="s">
        <v>162</v>
      </c>
      <c r="D48" s="14">
        <v>2</v>
      </c>
      <c r="E48" s="15" t="s">
        <v>240</v>
      </c>
    </row>
    <row r="49" spans="1:5" x14ac:dyDescent="0.25">
      <c r="A49" s="5" t="s">
        <v>50</v>
      </c>
      <c r="B49" s="5" t="s">
        <v>131</v>
      </c>
      <c r="C49" s="5" t="s">
        <v>162</v>
      </c>
      <c r="D49" s="14">
        <v>2</v>
      </c>
      <c r="E49" s="15" t="s">
        <v>241</v>
      </c>
    </row>
    <row r="50" spans="1:5" x14ac:dyDescent="0.25">
      <c r="A50" s="5" t="s">
        <v>51</v>
      </c>
      <c r="B50" s="5" t="s">
        <v>132</v>
      </c>
      <c r="C50" s="5" t="s">
        <v>162</v>
      </c>
      <c r="D50" s="14">
        <v>2</v>
      </c>
      <c r="E50" s="15" t="s">
        <v>242</v>
      </c>
    </row>
    <row r="51" spans="1:5" x14ac:dyDescent="0.25">
      <c r="A51" s="5" t="s">
        <v>52</v>
      </c>
      <c r="B51" s="5" t="s">
        <v>133</v>
      </c>
      <c r="C51" s="5" t="s">
        <v>162</v>
      </c>
      <c r="D51" s="14">
        <v>5</v>
      </c>
      <c r="E51" s="15" t="s">
        <v>238</v>
      </c>
    </row>
    <row r="52" spans="1:5" x14ac:dyDescent="0.25">
      <c r="A52" s="5" t="s">
        <v>53</v>
      </c>
      <c r="B52" s="5" t="s">
        <v>134</v>
      </c>
      <c r="C52" s="5" t="s">
        <v>162</v>
      </c>
      <c r="D52" s="14">
        <v>4</v>
      </c>
      <c r="E52" s="15" t="s">
        <v>243</v>
      </c>
    </row>
    <row r="53" spans="1:5" x14ac:dyDescent="0.25">
      <c r="A53" s="5" t="s">
        <v>54</v>
      </c>
      <c r="B53" s="5" t="s">
        <v>135</v>
      </c>
      <c r="C53" s="5" t="s">
        <v>162</v>
      </c>
      <c r="D53" s="14">
        <v>3</v>
      </c>
      <c r="E53" s="15" t="s">
        <v>244</v>
      </c>
    </row>
    <row r="54" spans="1:5" x14ac:dyDescent="0.25">
      <c r="A54" s="5" t="s">
        <v>55</v>
      </c>
      <c r="B54" s="5" t="s">
        <v>136</v>
      </c>
      <c r="C54" s="5" t="s">
        <v>162</v>
      </c>
      <c r="D54" s="14">
        <v>2</v>
      </c>
      <c r="E54" s="15" t="s">
        <v>245</v>
      </c>
    </row>
    <row r="55" spans="1:5" x14ac:dyDescent="0.25">
      <c r="A55" s="5" t="s">
        <v>80</v>
      </c>
      <c r="B55" s="5" t="s">
        <v>137</v>
      </c>
      <c r="C55" s="5" t="s">
        <v>162</v>
      </c>
      <c r="D55" s="14">
        <v>4</v>
      </c>
      <c r="E55" s="15" t="s">
        <v>246</v>
      </c>
    </row>
    <row r="56" spans="1:5" x14ac:dyDescent="0.25">
      <c r="A56" s="5" t="s">
        <v>81</v>
      </c>
      <c r="B56" s="5" t="s">
        <v>138</v>
      </c>
      <c r="C56" s="5" t="s">
        <v>162</v>
      </c>
      <c r="D56" s="14">
        <v>5</v>
      </c>
      <c r="E56" s="15" t="s">
        <v>246</v>
      </c>
    </row>
    <row r="57" spans="1:5" x14ac:dyDescent="0.25">
      <c r="A57" s="5" t="s">
        <v>56</v>
      </c>
      <c r="B57" s="5" t="s">
        <v>139</v>
      </c>
      <c r="C57" s="5" t="s">
        <v>162</v>
      </c>
      <c r="D57" s="14">
        <v>6</v>
      </c>
      <c r="E57" s="15" t="s">
        <v>239</v>
      </c>
    </row>
    <row r="58" spans="1:5" x14ac:dyDescent="0.25">
      <c r="A58" s="5" t="s">
        <v>57</v>
      </c>
      <c r="B58" s="5" t="s">
        <v>267</v>
      </c>
      <c r="C58" s="5" t="s">
        <v>162</v>
      </c>
      <c r="D58" s="14">
        <v>6</v>
      </c>
      <c r="E58" s="15" t="s">
        <v>239</v>
      </c>
    </row>
    <row r="59" spans="1:5" x14ac:dyDescent="0.25">
      <c r="A59" s="5" t="s">
        <v>58</v>
      </c>
      <c r="B59" s="5" t="s">
        <v>140</v>
      </c>
      <c r="C59" s="5" t="s">
        <v>162</v>
      </c>
      <c r="D59" s="14">
        <v>5</v>
      </c>
      <c r="E59" s="15" t="s">
        <v>247</v>
      </c>
    </row>
    <row r="60" spans="1:5" x14ac:dyDescent="0.25">
      <c r="A60" s="5" t="s">
        <v>59</v>
      </c>
      <c r="B60" s="5" t="s">
        <v>141</v>
      </c>
      <c r="C60" s="5" t="s">
        <v>162</v>
      </c>
      <c r="D60" s="14">
        <v>3</v>
      </c>
      <c r="E60" s="15" t="s">
        <v>248</v>
      </c>
    </row>
    <row r="61" spans="1:5" x14ac:dyDescent="0.25">
      <c r="A61" s="5" t="s">
        <v>60</v>
      </c>
      <c r="B61" s="5" t="s">
        <v>142</v>
      </c>
      <c r="C61" s="5" t="s">
        <v>162</v>
      </c>
      <c r="D61" s="14">
        <v>5</v>
      </c>
      <c r="E61" s="15" t="s">
        <v>249</v>
      </c>
    </row>
    <row r="62" spans="1:5" x14ac:dyDescent="0.25">
      <c r="A62" s="5" t="s">
        <v>61</v>
      </c>
      <c r="B62" s="5" t="s">
        <v>143</v>
      </c>
      <c r="C62" s="5" t="s">
        <v>162</v>
      </c>
      <c r="D62" s="14">
        <v>6</v>
      </c>
      <c r="E62" s="15" t="s">
        <v>250</v>
      </c>
    </row>
    <row r="63" spans="1:5" x14ac:dyDescent="0.25">
      <c r="A63" s="5" t="s">
        <v>62</v>
      </c>
      <c r="B63" s="5" t="s">
        <v>144</v>
      </c>
      <c r="C63" s="5" t="s">
        <v>162</v>
      </c>
      <c r="D63" s="14">
        <v>3</v>
      </c>
      <c r="E63" s="15" t="s">
        <v>251</v>
      </c>
    </row>
    <row r="64" spans="1:5" x14ac:dyDescent="0.25">
      <c r="A64" s="5" t="s">
        <v>63</v>
      </c>
      <c r="B64" s="5" t="s">
        <v>145</v>
      </c>
      <c r="C64" s="5" t="s">
        <v>162</v>
      </c>
      <c r="D64" s="14">
        <v>1</v>
      </c>
      <c r="E64" s="15" t="s">
        <v>252</v>
      </c>
    </row>
    <row r="65" spans="1:5" x14ac:dyDescent="0.25">
      <c r="A65" s="5" t="s">
        <v>64</v>
      </c>
      <c r="B65" s="5" t="s">
        <v>146</v>
      </c>
      <c r="C65" s="5" t="s">
        <v>162</v>
      </c>
      <c r="D65" s="14">
        <v>2</v>
      </c>
      <c r="E65" s="15" t="s">
        <v>253</v>
      </c>
    </row>
    <row r="66" spans="1:5" x14ac:dyDescent="0.25">
      <c r="A66" s="5" t="s">
        <v>65</v>
      </c>
      <c r="B66" s="5" t="s">
        <v>147</v>
      </c>
      <c r="C66" s="5" t="s">
        <v>162</v>
      </c>
      <c r="D66" s="14">
        <v>2</v>
      </c>
      <c r="E66" s="15" t="s">
        <v>254</v>
      </c>
    </row>
    <row r="67" spans="1:5" x14ac:dyDescent="0.25">
      <c r="A67" s="5" t="s">
        <v>66</v>
      </c>
      <c r="B67" s="5" t="s">
        <v>148</v>
      </c>
      <c r="C67" s="5" t="s">
        <v>162</v>
      </c>
      <c r="D67" s="14">
        <v>1</v>
      </c>
      <c r="E67" s="15" t="s">
        <v>255</v>
      </c>
    </row>
    <row r="68" spans="1:5" x14ac:dyDescent="0.25">
      <c r="A68" s="5" t="s">
        <v>67</v>
      </c>
      <c r="B68" s="5" t="s">
        <v>149</v>
      </c>
      <c r="C68" s="5" t="s">
        <v>162</v>
      </c>
      <c r="D68" s="14">
        <v>3</v>
      </c>
      <c r="E68" s="15" t="s">
        <v>254</v>
      </c>
    </row>
    <row r="69" spans="1:5" x14ac:dyDescent="0.25">
      <c r="A69" s="5" t="s">
        <v>68</v>
      </c>
      <c r="B69" s="5" t="s">
        <v>150</v>
      </c>
      <c r="C69" s="5" t="s">
        <v>162</v>
      </c>
      <c r="D69" s="14">
        <v>2</v>
      </c>
      <c r="E69" s="15" t="s">
        <v>256</v>
      </c>
    </row>
    <row r="70" spans="1:5" x14ac:dyDescent="0.25">
      <c r="A70" s="5" t="s">
        <v>69</v>
      </c>
      <c r="B70" s="5" t="s">
        <v>151</v>
      </c>
      <c r="C70" s="5" t="s">
        <v>162</v>
      </c>
      <c r="D70" s="14">
        <v>1</v>
      </c>
      <c r="E70" s="15" t="s">
        <v>256</v>
      </c>
    </row>
    <row r="71" spans="1:5" x14ac:dyDescent="0.25">
      <c r="A71" s="5" t="s">
        <v>70</v>
      </c>
      <c r="B71" s="5" t="s">
        <v>152</v>
      </c>
      <c r="C71" s="5" t="s">
        <v>162</v>
      </c>
      <c r="D71" s="14">
        <v>1</v>
      </c>
      <c r="E71" s="15" t="s">
        <v>257</v>
      </c>
    </row>
    <row r="72" spans="1:5" x14ac:dyDescent="0.25">
      <c r="A72" s="5" t="s">
        <v>71</v>
      </c>
      <c r="B72" s="5" t="s">
        <v>153</v>
      </c>
      <c r="C72" s="5" t="s">
        <v>162</v>
      </c>
      <c r="D72" s="14">
        <v>2</v>
      </c>
      <c r="E72" s="15" t="s">
        <v>258</v>
      </c>
    </row>
    <row r="73" spans="1:5" x14ac:dyDescent="0.25">
      <c r="A73" s="5" t="s">
        <v>72</v>
      </c>
      <c r="B73" s="5" t="s">
        <v>154</v>
      </c>
      <c r="C73" s="5" t="s">
        <v>162</v>
      </c>
      <c r="D73" s="14">
        <v>1</v>
      </c>
      <c r="E73" s="15" t="s">
        <v>259</v>
      </c>
    </row>
    <row r="74" spans="1:5" x14ac:dyDescent="0.25">
      <c r="A74" s="5" t="s">
        <v>73</v>
      </c>
      <c r="B74" s="5" t="s">
        <v>155</v>
      </c>
      <c r="C74" s="5" t="s">
        <v>162</v>
      </c>
      <c r="D74" s="14">
        <v>1</v>
      </c>
      <c r="E74" s="15" t="s">
        <v>260</v>
      </c>
    </row>
    <row r="75" spans="1:5" x14ac:dyDescent="0.25">
      <c r="A75" s="5" t="s">
        <v>74</v>
      </c>
      <c r="B75" s="5" t="s">
        <v>156</v>
      </c>
      <c r="C75" s="5" t="s">
        <v>162</v>
      </c>
      <c r="D75" s="14">
        <v>1</v>
      </c>
      <c r="E75" s="15" t="s">
        <v>261</v>
      </c>
    </row>
    <row r="76" spans="1:5" x14ac:dyDescent="0.25">
      <c r="A76" s="5" t="s">
        <v>75</v>
      </c>
      <c r="C76" s="5" t="s">
        <v>162</v>
      </c>
      <c r="D76" s="14"/>
      <c r="E76" s="15"/>
    </row>
    <row r="77" spans="1:5" x14ac:dyDescent="0.25">
      <c r="A77" s="5" t="s">
        <v>76</v>
      </c>
      <c r="C77" s="5" t="s">
        <v>162</v>
      </c>
      <c r="D77" s="14"/>
      <c r="E77" s="15"/>
    </row>
    <row r="78" spans="1:5" x14ac:dyDescent="0.25">
      <c r="A78" s="5" t="s">
        <v>77</v>
      </c>
      <c r="C78" s="5" t="s">
        <v>162</v>
      </c>
      <c r="D78" s="14"/>
      <c r="E78" s="15"/>
    </row>
    <row r="79" spans="1:5" x14ac:dyDescent="0.25">
      <c r="A79" s="5" t="s">
        <v>78</v>
      </c>
      <c r="C79" s="5" t="s">
        <v>162</v>
      </c>
      <c r="D79" s="14"/>
      <c r="E79" s="15"/>
    </row>
    <row r="80" spans="1:5" x14ac:dyDescent="0.25">
      <c r="A80" s="5" t="s">
        <v>79</v>
      </c>
      <c r="C80" s="5" t="s">
        <v>162</v>
      </c>
      <c r="D80" s="14"/>
      <c r="E80" s="15"/>
    </row>
    <row r="81" spans="1:5" x14ac:dyDescent="0.25">
      <c r="A81" s="5" t="s">
        <v>82</v>
      </c>
      <c r="C81" s="5" t="s">
        <v>162</v>
      </c>
      <c r="D81" s="14"/>
      <c r="E81" s="15"/>
    </row>
    <row r="82" spans="1:5" x14ac:dyDescent="0.25">
      <c r="A82" s="5" t="s">
        <v>83</v>
      </c>
      <c r="C82" s="5" t="s">
        <v>162</v>
      </c>
      <c r="D82" s="14"/>
      <c r="E82" s="15"/>
    </row>
    <row r="83" spans="1:5" x14ac:dyDescent="0.25">
      <c r="A83" s="5" t="s">
        <v>84</v>
      </c>
      <c r="C83" s="5" t="s">
        <v>162</v>
      </c>
      <c r="D83" s="14"/>
      <c r="E83" s="15"/>
    </row>
    <row r="84" spans="1:5" x14ac:dyDescent="0.25">
      <c r="A84" s="5" t="s">
        <v>85</v>
      </c>
      <c r="C84" s="5" t="s">
        <v>162</v>
      </c>
      <c r="D84" s="14"/>
      <c r="E84" s="15"/>
    </row>
    <row r="85" spans="1:5" x14ac:dyDescent="0.25">
      <c r="A85" s="5" t="s">
        <v>86</v>
      </c>
      <c r="C85" s="5" t="s">
        <v>162</v>
      </c>
      <c r="D85" s="14"/>
      <c r="E85" s="15"/>
    </row>
    <row r="86" spans="1:5" x14ac:dyDescent="0.25">
      <c r="E86" s="15"/>
    </row>
    <row r="87" spans="1:5" x14ac:dyDescent="0.25">
      <c r="E87" s="15"/>
    </row>
    <row r="88" spans="1:5" x14ac:dyDescent="0.25">
      <c r="E88" s="15"/>
    </row>
    <row r="89" spans="1:5" x14ac:dyDescent="0.25">
      <c r="E89" s="15"/>
    </row>
    <row r="90" spans="1:5" x14ac:dyDescent="0.25">
      <c r="E90" s="15"/>
    </row>
    <row r="91" spans="1:5" x14ac:dyDescent="0.25">
      <c r="E91" s="15"/>
    </row>
    <row r="92" spans="1:5" x14ac:dyDescent="0.25">
      <c r="E92" s="15"/>
    </row>
    <row r="93" spans="1:5" x14ac:dyDescent="0.25">
      <c r="E93" s="15"/>
    </row>
  </sheetData>
  <mergeCells count="2">
    <mergeCell ref="A1:E1"/>
    <mergeCell ref="G1:H1"/>
  </mergeCells>
  <phoneticPr fontId="2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M68"/>
  <sheetViews>
    <sheetView workbookViewId="0">
      <selection activeCell="E8" sqref="E8"/>
    </sheetView>
  </sheetViews>
  <sheetFormatPr baseColWidth="10" defaultRowHeight="15" x14ac:dyDescent="0.25"/>
  <cols>
    <col min="1" max="1" width="11.42578125" style="5"/>
    <col min="2" max="2" width="15.42578125" style="5" customWidth="1"/>
    <col min="3" max="3" width="14.140625" style="5" bestFit="1" customWidth="1"/>
    <col min="4" max="4" width="13.28515625" style="5" customWidth="1"/>
    <col min="5" max="5" width="16.5703125" style="5" customWidth="1"/>
    <col min="6" max="6" width="11.42578125" style="5" customWidth="1"/>
    <col min="7" max="16384" width="11.42578125" style="5"/>
  </cols>
  <sheetData>
    <row r="1" spans="1:13" x14ac:dyDescent="0.25">
      <c r="A1" s="51" t="s">
        <v>189</v>
      </c>
      <c r="B1" s="51" t="s">
        <v>190</v>
      </c>
      <c r="C1" s="51" t="s">
        <v>191</v>
      </c>
      <c r="D1" s="51" t="s">
        <v>160</v>
      </c>
      <c r="E1" s="51" t="s">
        <v>192</v>
      </c>
      <c r="F1" s="51" t="s">
        <v>193</v>
      </c>
      <c r="G1" s="51" t="s">
        <v>2</v>
      </c>
      <c r="H1" s="51" t="s">
        <v>197</v>
      </c>
      <c r="I1" s="51" t="s">
        <v>194</v>
      </c>
      <c r="J1" s="51" t="s">
        <v>202</v>
      </c>
      <c r="K1" s="51" t="s">
        <v>176</v>
      </c>
      <c r="L1" s="51" t="s">
        <v>195</v>
      </c>
      <c r="M1" s="51" t="s">
        <v>196</v>
      </c>
    </row>
    <row r="2" spans="1:13" x14ac:dyDescent="0.25">
      <c r="A2" s="32" t="s">
        <v>223</v>
      </c>
      <c r="B2" s="32" t="s">
        <v>221</v>
      </c>
      <c r="C2" s="44">
        <v>46023.5</v>
      </c>
      <c r="D2" s="32" t="s">
        <v>224</v>
      </c>
      <c r="E2" s="32" t="s">
        <v>225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</row>
    <row r="3" spans="1:13" x14ac:dyDescent="0.25">
      <c r="A3" s="32"/>
      <c r="B3" s="32"/>
      <c r="C3" s="44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32"/>
      <c r="B4" s="32"/>
      <c r="C4" s="44"/>
      <c r="D4" s="32"/>
      <c r="E4" s="32"/>
      <c r="F4" s="32"/>
      <c r="G4" s="32"/>
      <c r="H4" s="32"/>
      <c r="I4" s="32"/>
      <c r="J4" s="32"/>
      <c r="K4" s="32"/>
      <c r="L4" s="32"/>
      <c r="M4" s="32"/>
    </row>
    <row r="5" spans="1:13" x14ac:dyDescent="0.25">
      <c r="A5" s="32"/>
      <c r="B5" s="32"/>
      <c r="C5" s="44"/>
      <c r="D5" s="32"/>
      <c r="E5" s="32"/>
      <c r="F5" s="32"/>
      <c r="G5" s="32"/>
      <c r="H5" s="32"/>
      <c r="I5" s="32"/>
      <c r="J5" s="32"/>
      <c r="K5" s="32"/>
      <c r="L5" s="32"/>
      <c r="M5" s="32"/>
    </row>
    <row r="6" spans="1:13" x14ac:dyDescent="0.25">
      <c r="A6" s="32"/>
      <c r="B6" s="32"/>
      <c r="C6" s="44"/>
      <c r="D6" s="32"/>
      <c r="E6" s="32"/>
      <c r="F6" s="32"/>
      <c r="G6" s="32"/>
      <c r="H6" s="32"/>
      <c r="I6" s="32"/>
      <c r="J6" s="32"/>
      <c r="K6" s="32"/>
      <c r="L6" s="32"/>
      <c r="M6" s="32"/>
    </row>
    <row r="7" spans="1:13" x14ac:dyDescent="0.25">
      <c r="A7" s="32"/>
      <c r="B7" s="32"/>
      <c r="C7" s="44"/>
      <c r="D7" s="32"/>
      <c r="E7" s="32"/>
      <c r="F7" s="32"/>
      <c r="G7" s="32"/>
      <c r="H7" s="32"/>
      <c r="I7" s="32"/>
      <c r="J7" s="32"/>
      <c r="K7" s="32"/>
      <c r="L7" s="32"/>
      <c r="M7" s="32"/>
    </row>
    <row r="8" spans="1:13" x14ac:dyDescent="0.25">
      <c r="A8" s="32"/>
      <c r="B8" s="32"/>
      <c r="C8" s="44"/>
      <c r="D8" s="32"/>
      <c r="E8" s="32"/>
      <c r="F8" s="32"/>
      <c r="G8" s="32"/>
      <c r="H8" s="32"/>
      <c r="I8" s="32"/>
      <c r="J8" s="32"/>
      <c r="K8" s="32"/>
      <c r="L8" s="32"/>
      <c r="M8" s="32"/>
    </row>
    <row r="9" spans="1:13" x14ac:dyDescent="0.25">
      <c r="A9" s="32"/>
      <c r="B9" s="32"/>
      <c r="C9" s="44"/>
      <c r="D9" s="32"/>
      <c r="E9" s="32"/>
      <c r="F9" s="32"/>
      <c r="G9" s="32"/>
      <c r="H9" s="32"/>
      <c r="I9" s="32"/>
      <c r="J9" s="32"/>
      <c r="K9" s="32"/>
      <c r="L9" s="32"/>
      <c r="M9" s="32"/>
    </row>
    <row r="10" spans="1:13" x14ac:dyDescent="0.25">
      <c r="A10" s="32"/>
      <c r="B10" s="32"/>
      <c r="C10" s="44"/>
      <c r="D10" s="32"/>
      <c r="E10" s="32"/>
      <c r="F10" s="32"/>
      <c r="G10" s="32"/>
      <c r="H10" s="32"/>
      <c r="I10" s="32"/>
      <c r="J10" s="32"/>
      <c r="K10" s="32"/>
      <c r="L10" s="32"/>
      <c r="M10" s="32"/>
    </row>
    <row r="11" spans="1:13" x14ac:dyDescent="0.25">
      <c r="A11" s="32"/>
      <c r="B11" s="32"/>
      <c r="C11" s="44"/>
      <c r="D11" s="32"/>
      <c r="E11" s="32"/>
      <c r="F11" s="32"/>
      <c r="G11" s="32"/>
      <c r="H11" s="32"/>
      <c r="I11" s="32"/>
      <c r="J11" s="32"/>
      <c r="K11" s="32"/>
      <c r="L11" s="32"/>
      <c r="M11" s="32"/>
    </row>
    <row r="12" spans="1:13" x14ac:dyDescent="0.25">
      <c r="A12" s="32"/>
      <c r="B12" s="32"/>
      <c r="C12" s="44"/>
      <c r="D12" s="32"/>
      <c r="E12" s="32"/>
      <c r="F12" s="32"/>
      <c r="G12" s="32"/>
      <c r="H12" s="32"/>
      <c r="I12" s="32"/>
      <c r="J12" s="32"/>
      <c r="K12" s="32"/>
      <c r="L12" s="32"/>
      <c r="M12" s="32"/>
    </row>
    <row r="13" spans="1:13" x14ac:dyDescent="0.25">
      <c r="A13" s="32"/>
      <c r="B13" s="32"/>
      <c r="C13" s="44"/>
      <c r="D13" s="32"/>
      <c r="E13" s="32"/>
      <c r="F13" s="32"/>
      <c r="G13" s="32"/>
      <c r="H13" s="32"/>
      <c r="I13" s="32"/>
      <c r="J13" s="32"/>
      <c r="K13" s="32"/>
      <c r="L13" s="32"/>
      <c r="M13" s="32"/>
    </row>
    <row r="14" spans="1:13" x14ac:dyDescent="0.25">
      <c r="A14" s="32"/>
      <c r="B14" s="32"/>
      <c r="C14" s="44"/>
      <c r="D14" s="32"/>
      <c r="E14" s="32"/>
      <c r="F14" s="32"/>
      <c r="G14" s="32"/>
      <c r="H14" s="32"/>
      <c r="I14" s="32"/>
      <c r="J14" s="32"/>
      <c r="K14" s="32"/>
      <c r="L14" s="32"/>
      <c r="M14" s="32"/>
    </row>
    <row r="15" spans="1:13" x14ac:dyDescent="0.25">
      <c r="A15" s="32"/>
      <c r="B15" s="32"/>
      <c r="C15" s="44"/>
      <c r="D15" s="32"/>
      <c r="E15" s="32"/>
      <c r="F15" s="32"/>
      <c r="G15" s="32"/>
      <c r="H15" s="32"/>
      <c r="I15" s="32"/>
      <c r="J15" s="32"/>
      <c r="K15" s="32"/>
      <c r="L15" s="32"/>
      <c r="M15" s="32"/>
    </row>
    <row r="16" spans="1:13" x14ac:dyDescent="0.25">
      <c r="A16" s="32"/>
      <c r="B16" s="32"/>
      <c r="C16" s="44"/>
      <c r="D16" s="32"/>
      <c r="E16" s="32"/>
      <c r="F16" s="32"/>
      <c r="G16" s="32"/>
      <c r="H16" s="32"/>
      <c r="I16" s="32"/>
      <c r="J16" s="32"/>
      <c r="K16" s="32"/>
      <c r="L16" s="32"/>
      <c r="M16" s="32"/>
    </row>
    <row r="17" spans="1:13" x14ac:dyDescent="0.25">
      <c r="A17" s="32"/>
      <c r="B17" s="32"/>
      <c r="C17" s="44"/>
      <c r="D17" s="32"/>
      <c r="E17" s="32"/>
      <c r="F17" s="32"/>
      <c r="G17" s="32"/>
      <c r="H17" s="32"/>
      <c r="I17" s="32"/>
      <c r="J17" s="32"/>
      <c r="K17" s="32"/>
      <c r="L17" s="32"/>
      <c r="M17" s="32"/>
    </row>
    <row r="18" spans="1:13" x14ac:dyDescent="0.25">
      <c r="A18" s="32"/>
      <c r="B18" s="32"/>
      <c r="C18" s="44"/>
      <c r="D18" s="32"/>
      <c r="E18" s="32"/>
      <c r="F18" s="32"/>
      <c r="G18" s="32"/>
      <c r="H18" s="32"/>
      <c r="I18" s="32"/>
      <c r="J18" s="32"/>
      <c r="K18" s="32"/>
      <c r="L18" s="32"/>
      <c r="M18" s="32"/>
    </row>
    <row r="19" spans="1:13" x14ac:dyDescent="0.25">
      <c r="A19" s="32"/>
      <c r="B19" s="32"/>
      <c r="C19" s="44"/>
      <c r="D19" s="32"/>
      <c r="E19" s="32"/>
      <c r="F19" s="32"/>
      <c r="G19" s="32"/>
      <c r="H19" s="32"/>
      <c r="I19" s="32"/>
      <c r="J19" s="32"/>
      <c r="K19" s="32"/>
      <c r="L19" s="32"/>
      <c r="M19" s="32"/>
    </row>
    <row r="20" spans="1:13" x14ac:dyDescent="0.25">
      <c r="A20" s="32"/>
      <c r="B20" s="32"/>
      <c r="C20" s="44"/>
      <c r="D20" s="32"/>
      <c r="E20" s="32"/>
      <c r="F20" s="32"/>
      <c r="G20" s="32"/>
      <c r="H20" s="32"/>
      <c r="I20" s="32"/>
      <c r="J20" s="32"/>
      <c r="K20" s="32"/>
      <c r="L20" s="32"/>
      <c r="M20" s="32"/>
    </row>
    <row r="21" spans="1:13" x14ac:dyDescent="0.25">
      <c r="A21" s="32"/>
      <c r="B21" s="32"/>
      <c r="C21" s="44"/>
      <c r="D21" s="32"/>
      <c r="E21" s="32"/>
      <c r="F21" s="32"/>
      <c r="G21" s="32"/>
      <c r="H21" s="32"/>
      <c r="I21" s="32"/>
      <c r="J21" s="32"/>
      <c r="K21" s="32"/>
      <c r="L21" s="32"/>
      <c r="M21" s="32"/>
    </row>
    <row r="22" spans="1:13" x14ac:dyDescent="0.25">
      <c r="A22" s="32"/>
      <c r="B22" s="32"/>
      <c r="C22" s="44"/>
      <c r="D22" s="32"/>
      <c r="E22" s="32"/>
      <c r="F22" s="32"/>
      <c r="G22" s="32"/>
      <c r="H22" s="32"/>
      <c r="I22" s="32"/>
      <c r="J22" s="32"/>
      <c r="K22" s="32"/>
      <c r="L22" s="32"/>
      <c r="M22" s="32"/>
    </row>
    <row r="23" spans="1:13" x14ac:dyDescent="0.25">
      <c r="A23" s="32"/>
      <c r="B23" s="32"/>
      <c r="C23" s="44"/>
      <c r="D23" s="32"/>
      <c r="E23" s="32"/>
      <c r="F23" s="32"/>
      <c r="G23" s="32"/>
      <c r="H23" s="32"/>
      <c r="I23" s="32"/>
      <c r="J23" s="32"/>
      <c r="K23" s="32"/>
      <c r="L23" s="32"/>
      <c r="M23" s="32"/>
    </row>
    <row r="24" spans="1:13" x14ac:dyDescent="0.25">
      <c r="A24" s="32"/>
      <c r="B24" s="32"/>
      <c r="C24" s="44"/>
      <c r="D24" s="32"/>
      <c r="E24" s="32"/>
      <c r="F24" s="32"/>
      <c r="G24" s="32"/>
      <c r="H24" s="32"/>
      <c r="I24" s="32"/>
      <c r="J24" s="32"/>
      <c r="K24" s="32"/>
      <c r="L24" s="32"/>
      <c r="M24" s="32"/>
    </row>
    <row r="25" spans="1:13" x14ac:dyDescent="0.25">
      <c r="A25" s="32"/>
      <c r="B25" s="32"/>
      <c r="C25" s="44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1:13" x14ac:dyDescent="0.25">
      <c r="A26" s="32"/>
      <c r="B26" s="32"/>
      <c r="C26" s="44"/>
      <c r="D26" s="32"/>
      <c r="E26" s="32"/>
      <c r="F26" s="32"/>
      <c r="G26" s="32"/>
      <c r="H26" s="32"/>
      <c r="I26" s="32"/>
      <c r="J26" s="32"/>
      <c r="K26" s="32"/>
      <c r="L26" s="32"/>
      <c r="M26" s="32"/>
    </row>
    <row r="27" spans="1:13" x14ac:dyDescent="0.25">
      <c r="A27" s="32"/>
      <c r="B27" s="32"/>
      <c r="C27" s="44"/>
      <c r="D27" s="32"/>
      <c r="E27" s="32"/>
      <c r="F27" s="32"/>
      <c r="G27" s="32"/>
      <c r="H27" s="32"/>
      <c r="I27" s="32"/>
      <c r="J27" s="32"/>
      <c r="K27" s="32"/>
      <c r="L27" s="32"/>
      <c r="M27" s="32"/>
    </row>
    <row r="28" spans="1:13" x14ac:dyDescent="0.25">
      <c r="A28" s="32"/>
      <c r="B28" s="32"/>
      <c r="C28" s="44"/>
      <c r="D28" s="32"/>
      <c r="E28" s="32"/>
      <c r="F28" s="32"/>
      <c r="G28" s="32"/>
      <c r="H28" s="32"/>
      <c r="I28" s="32"/>
      <c r="J28" s="32"/>
      <c r="K28" s="32"/>
      <c r="L28" s="32"/>
      <c r="M28" s="32"/>
    </row>
    <row r="29" spans="1:13" x14ac:dyDescent="0.25">
      <c r="A29" s="32"/>
      <c r="B29" s="32"/>
      <c r="C29" s="44"/>
      <c r="D29" s="32"/>
      <c r="E29" s="32"/>
      <c r="F29" s="32"/>
      <c r="G29" s="32"/>
      <c r="H29" s="32"/>
      <c r="I29" s="32"/>
      <c r="J29" s="32"/>
      <c r="K29" s="32"/>
      <c r="L29" s="32"/>
      <c r="M29" s="32"/>
    </row>
    <row r="30" spans="1:13" x14ac:dyDescent="0.25">
      <c r="A30" s="32"/>
      <c r="B30" s="32"/>
      <c r="C30" s="44"/>
      <c r="D30" s="32"/>
      <c r="E30" s="32"/>
      <c r="F30" s="32"/>
      <c r="G30" s="32"/>
      <c r="H30" s="32"/>
      <c r="I30" s="32"/>
      <c r="J30" s="32"/>
      <c r="K30" s="32"/>
      <c r="L30" s="32"/>
      <c r="M30" s="32"/>
    </row>
    <row r="31" spans="1:13" x14ac:dyDescent="0.25">
      <c r="A31" s="32"/>
      <c r="B31" s="32"/>
      <c r="C31" s="44"/>
      <c r="D31" s="32"/>
      <c r="E31" s="32"/>
      <c r="F31" s="32"/>
      <c r="G31" s="32"/>
      <c r="H31" s="32"/>
      <c r="I31" s="32"/>
      <c r="J31" s="32"/>
      <c r="K31" s="32"/>
      <c r="L31" s="32"/>
      <c r="M31" s="32"/>
    </row>
    <row r="32" spans="1:13" x14ac:dyDescent="0.25">
      <c r="A32" s="32"/>
      <c r="B32" s="32"/>
      <c r="C32" s="44"/>
      <c r="D32" s="32"/>
      <c r="E32" s="32"/>
      <c r="F32" s="32"/>
      <c r="G32" s="32"/>
      <c r="H32" s="32"/>
      <c r="I32" s="32"/>
      <c r="J32" s="32"/>
      <c r="K32" s="32"/>
      <c r="L32" s="32"/>
      <c r="M32" s="32"/>
    </row>
    <row r="33" spans="1:13" x14ac:dyDescent="0.25">
      <c r="A33" s="32"/>
      <c r="B33" s="32"/>
      <c r="C33" s="44"/>
      <c r="D33" s="32"/>
      <c r="E33" s="32"/>
      <c r="F33" s="32"/>
      <c r="G33" s="32"/>
      <c r="H33" s="32"/>
      <c r="I33" s="32"/>
      <c r="J33" s="32"/>
      <c r="K33" s="32"/>
      <c r="L33" s="32"/>
      <c r="M33" s="32"/>
    </row>
    <row r="34" spans="1:13" x14ac:dyDescent="0.25">
      <c r="C34" s="38"/>
    </row>
    <row r="35" spans="1:13" x14ac:dyDescent="0.25">
      <c r="C35" s="38"/>
    </row>
    <row r="36" spans="1:13" x14ac:dyDescent="0.25">
      <c r="C36" s="38"/>
    </row>
    <row r="37" spans="1:13" x14ac:dyDescent="0.25">
      <c r="C37" s="38"/>
    </row>
    <row r="38" spans="1:13" x14ac:dyDescent="0.25">
      <c r="C38" s="38"/>
    </row>
    <row r="39" spans="1:13" x14ac:dyDescent="0.25">
      <c r="C39" s="38"/>
    </row>
    <row r="40" spans="1:13" x14ac:dyDescent="0.25">
      <c r="C40" s="38"/>
    </row>
    <row r="41" spans="1:13" x14ac:dyDescent="0.25">
      <c r="C41" s="38"/>
    </row>
    <row r="42" spans="1:13" x14ac:dyDescent="0.25">
      <c r="C42" s="38"/>
    </row>
    <row r="43" spans="1:13" x14ac:dyDescent="0.25">
      <c r="C43" s="38"/>
    </row>
    <row r="44" spans="1:13" x14ac:dyDescent="0.25">
      <c r="C44" s="38"/>
    </row>
    <row r="45" spans="1:13" x14ac:dyDescent="0.25">
      <c r="C45" s="38"/>
    </row>
    <row r="46" spans="1:13" x14ac:dyDescent="0.25">
      <c r="C46" s="38"/>
    </row>
    <row r="47" spans="1:13" x14ac:dyDescent="0.25">
      <c r="C47" s="38"/>
    </row>
    <row r="48" spans="1:13" x14ac:dyDescent="0.25">
      <c r="C48" s="38"/>
    </row>
    <row r="49" spans="3:3" x14ac:dyDescent="0.25">
      <c r="C49" s="38"/>
    </row>
    <row r="50" spans="3:3" x14ac:dyDescent="0.25">
      <c r="C50" s="38"/>
    </row>
    <row r="51" spans="3:3" x14ac:dyDescent="0.25">
      <c r="C51" s="38"/>
    </row>
    <row r="52" spans="3:3" x14ac:dyDescent="0.25">
      <c r="C52" s="38"/>
    </row>
    <row r="53" spans="3:3" x14ac:dyDescent="0.25">
      <c r="C53" s="38"/>
    </row>
    <row r="54" spans="3:3" x14ac:dyDescent="0.25">
      <c r="C54" s="38"/>
    </row>
    <row r="55" spans="3:3" x14ac:dyDescent="0.25">
      <c r="C55" s="38"/>
    </row>
    <row r="56" spans="3:3" x14ac:dyDescent="0.25">
      <c r="C56" s="38"/>
    </row>
    <row r="57" spans="3:3" x14ac:dyDescent="0.25">
      <c r="C57" s="38"/>
    </row>
    <row r="58" spans="3:3" x14ac:dyDescent="0.25">
      <c r="C58" s="38"/>
    </row>
    <row r="59" spans="3:3" x14ac:dyDescent="0.25">
      <c r="C59" s="38"/>
    </row>
    <row r="60" spans="3:3" x14ac:dyDescent="0.25">
      <c r="C60" s="38"/>
    </row>
    <row r="61" spans="3:3" x14ac:dyDescent="0.25">
      <c r="C61" s="3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</sheetData>
  <sheetProtection password="C724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AD18"/>
  <sheetViews>
    <sheetView showGridLines="0" showRowColHeaders="0" zoomScale="85" zoomScaleNormal="85" workbookViewId="0">
      <selection activeCell="J26" sqref="J26"/>
    </sheetView>
  </sheetViews>
  <sheetFormatPr baseColWidth="10" defaultColWidth="15.7109375" defaultRowHeight="15" x14ac:dyDescent="0.25"/>
  <cols>
    <col min="1" max="16384" width="15.7109375" style="5"/>
  </cols>
  <sheetData>
    <row r="1" spans="1:30" ht="15" customHeight="1" x14ac:dyDescent="0.25">
      <c r="A1" s="95" t="s">
        <v>205</v>
      </c>
      <c r="B1" s="95"/>
      <c r="C1" s="95"/>
      <c r="D1" s="95"/>
      <c r="E1" s="95"/>
      <c r="F1" s="95"/>
      <c r="G1" s="95"/>
      <c r="H1" s="95"/>
      <c r="I1" s="95"/>
      <c r="J1" s="95"/>
      <c r="K1" s="95" t="s">
        <v>205</v>
      </c>
      <c r="L1" s="95"/>
      <c r="M1" s="95"/>
      <c r="N1" s="95"/>
      <c r="O1" s="95"/>
      <c r="P1" s="95"/>
      <c r="Q1" s="95"/>
      <c r="R1" s="95"/>
      <c r="S1" s="95"/>
      <c r="T1" s="95"/>
      <c r="U1" s="95" t="s">
        <v>205</v>
      </c>
      <c r="V1" s="95"/>
      <c r="W1" s="95"/>
      <c r="X1" s="95"/>
      <c r="Y1" s="95"/>
      <c r="Z1" s="95"/>
      <c r="AA1" s="95"/>
      <c r="AB1" s="95"/>
      <c r="AC1" s="95"/>
      <c r="AD1" s="95"/>
    </row>
    <row r="2" spans="1:30" ht="15" customHeight="1" x14ac:dyDescent="0.2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</row>
    <row r="3" spans="1:30" ht="15" customHeight="1" x14ac:dyDescent="0.25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</row>
    <row r="5" spans="1:30" x14ac:dyDescent="0.25">
      <c r="K5" s="43"/>
    </row>
    <row r="8" spans="1:30" x14ac:dyDescent="0.25">
      <c r="M8" s="45"/>
    </row>
    <row r="13" spans="1:30" x14ac:dyDescent="0.25">
      <c r="K13" s="43" t="s">
        <v>207</v>
      </c>
      <c r="M13" s="43" t="s">
        <v>206</v>
      </c>
    </row>
    <row r="18" spans="11:13" x14ac:dyDescent="0.25">
      <c r="K18" s="43" t="s">
        <v>204</v>
      </c>
      <c r="M18" s="43" t="s">
        <v>262</v>
      </c>
    </row>
  </sheetData>
  <sheetProtection password="C724" sheet="1" scenarios="1" pivotTables="0"/>
  <mergeCells count="3">
    <mergeCell ref="A1:J3"/>
    <mergeCell ref="K1:T3"/>
    <mergeCell ref="U1:AD3"/>
  </mergeCells>
  <pageMargins left="0.7" right="0.7" top="0.75" bottom="0.75" header="0.3" footer="0.3"/>
  <pageSetup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499984740745262"/>
  </sheetPr>
  <dimension ref="A1:T12"/>
  <sheetViews>
    <sheetView zoomScale="55" zoomScaleNormal="55" workbookViewId="0">
      <selection activeCell="E2" sqref="E2"/>
    </sheetView>
  </sheetViews>
  <sheetFormatPr baseColWidth="10" defaultRowHeight="15" x14ac:dyDescent="0.25"/>
  <cols>
    <col min="1" max="1" width="26.140625" customWidth="1"/>
    <col min="2" max="2" width="23" customWidth="1"/>
    <col min="5" max="5" width="26.140625" customWidth="1"/>
    <col min="6" max="6" width="25.85546875" customWidth="1"/>
    <col min="8" max="8" width="17.5703125" bestFit="1" customWidth="1"/>
    <col min="9" max="9" width="26.140625" customWidth="1"/>
    <col min="10" max="10" width="23.5703125" customWidth="1"/>
    <col min="11" max="11" width="23" customWidth="1"/>
    <col min="14" max="14" width="26.140625" customWidth="1"/>
    <col min="17" max="17" width="13.5703125" bestFit="1" customWidth="1"/>
    <col min="20" max="20" width="11.42578125" customWidth="1"/>
  </cols>
  <sheetData>
    <row r="1" spans="1:20" x14ac:dyDescent="0.25">
      <c r="A1" s="39" t="s">
        <v>198</v>
      </c>
      <c r="B1" t="s">
        <v>200</v>
      </c>
      <c r="E1" s="39" t="s">
        <v>198</v>
      </c>
      <c r="F1" t="s">
        <v>203</v>
      </c>
      <c r="I1" s="39" t="s">
        <v>198</v>
      </c>
      <c r="J1" t="s">
        <v>201</v>
      </c>
      <c r="K1" t="s">
        <v>200</v>
      </c>
      <c r="N1" s="39" t="s">
        <v>198</v>
      </c>
    </row>
    <row r="2" spans="1:20" ht="20.25" x14ac:dyDescent="0.3">
      <c r="A2" s="40" t="s">
        <v>222</v>
      </c>
      <c r="B2" s="42"/>
      <c r="E2" s="40" t="s">
        <v>222</v>
      </c>
      <c r="F2" s="41"/>
      <c r="I2" s="40" t="s">
        <v>225</v>
      </c>
      <c r="J2" s="41">
        <v>0</v>
      </c>
      <c r="K2" s="41">
        <v>0</v>
      </c>
      <c r="N2" s="40" t="s">
        <v>223</v>
      </c>
      <c r="T2" s="47">
        <f>GETPIVOTDATA("Subtotal",$A$1)</f>
        <v>0</v>
      </c>
    </row>
    <row r="3" spans="1:20" x14ac:dyDescent="0.25">
      <c r="A3" s="48" t="s">
        <v>226</v>
      </c>
      <c r="B3" s="42">
        <v>0</v>
      </c>
      <c r="E3" s="49" t="s">
        <v>226</v>
      </c>
      <c r="F3" s="41">
        <v>0</v>
      </c>
      <c r="I3" s="40" t="s">
        <v>199</v>
      </c>
      <c r="J3" s="41">
        <v>0</v>
      </c>
      <c r="K3" s="41">
        <v>0</v>
      </c>
    </row>
    <row r="4" spans="1:20" x14ac:dyDescent="0.25">
      <c r="A4" s="40" t="s">
        <v>199</v>
      </c>
      <c r="B4" s="42">
        <v>0</v>
      </c>
      <c r="E4" s="40" t="s">
        <v>199</v>
      </c>
      <c r="F4" s="41">
        <v>0</v>
      </c>
    </row>
    <row r="5" spans="1:20" ht="20.25" x14ac:dyDescent="0.3">
      <c r="T5" s="47">
        <f>GETPIVOTDATA("Monto IVA",$E$1)</f>
        <v>0</v>
      </c>
    </row>
    <row r="8" spans="1:20" ht="20.25" x14ac:dyDescent="0.3">
      <c r="T8" s="47">
        <f>IFERROR((B4/(COUNTA(N:N)-2)),0)</f>
        <v>0</v>
      </c>
    </row>
    <row r="11" spans="1:20" ht="20.25" x14ac:dyDescent="0.3">
      <c r="T11" s="46" t="str">
        <f>I2</f>
        <v>INICIO DE SISTEMA</v>
      </c>
    </row>
    <row r="12" spans="1:20" ht="18.75" x14ac:dyDescent="0.3">
      <c r="T12" s="50" t="str">
        <f>IFERROR(VLOOKUP(T11,tablaProductos[#All],2,FALSE),"No hay ventas")</f>
        <v>No hay ventas</v>
      </c>
    </row>
  </sheetData>
  <sheetProtection password="C724" sheet="1" objects="1" scenarios="1" pivotTables="0"/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POS</vt:lpstr>
      <vt:lpstr>Datos de Control</vt:lpstr>
      <vt:lpstr>Registro</vt:lpstr>
      <vt:lpstr>Reportes</vt:lpstr>
      <vt:lpstr>Calculos_BD</vt:lpstr>
      <vt:lpstr>POS!Área_de_impresión</vt:lpstr>
      <vt:lpstr>nombreFacturadores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E7240</dc:creator>
  <cp:lastModifiedBy>Eduardo Cuevas</cp:lastModifiedBy>
  <cp:lastPrinted>2026-01-16T04:23:04Z</cp:lastPrinted>
  <dcterms:created xsi:type="dcterms:W3CDTF">2025-11-28T22:23:05Z</dcterms:created>
  <dcterms:modified xsi:type="dcterms:W3CDTF">2026-01-19T02:32:20Z</dcterms:modified>
</cp:coreProperties>
</file>